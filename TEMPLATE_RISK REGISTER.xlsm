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425" codeName="{99F03F65-6EE5-B2FF-AC1D-F4DDD12603F5}"/>
  <workbookPr codeName="ThisWorkbook" defaultThemeVersion="124226"/>
  <mc:AlternateContent xmlns:mc="http://schemas.openxmlformats.org/markup-compatibility/2006">
    <mc:Choice Requires="x15">
      <x15ac:absPath xmlns:x15ac="http://schemas.microsoft.com/office/spreadsheetml/2010/11/ac" url="C:\Users\EW\Desktop\work stuff\"/>
    </mc:Choice>
  </mc:AlternateContent>
  <xr:revisionPtr revIDLastSave="0" documentId="13_ncr:1_{604C8FE0-3283-4C7A-9453-B4140E956A48}" xr6:coauthVersionLast="43" xr6:coauthVersionMax="43" xr10:uidLastSave="{00000000-0000-0000-0000-000000000000}"/>
  <bookViews>
    <workbookView xWindow="-120" yWindow="-120" windowWidth="29040" windowHeight="15840" xr2:uid="{00000000-000D-0000-FFFF-FFFF00000000}"/>
  </bookViews>
  <sheets>
    <sheet name="Main" sheetId="5" r:id="rId1"/>
    <sheet name="Risk Register" sheetId="1" r:id="rId2"/>
    <sheet name="Risk Matrix" sheetId="4" r:id="rId3"/>
    <sheet name="Risk Information " sheetId="2" r:id="rId4"/>
    <sheet name="Temp" sheetId="6" r:id="rId5"/>
    <sheet name="SWMS Template" sheetId="8" r:id="rId6"/>
    <sheet name="Revision History" sheetId="7" r:id="rId7"/>
  </sheets>
  <functionGroups builtInGroupCount="19"/>
  <definedNames>
    <definedName name="Envirolist">Temp!$A$1:$A$10</definedName>
    <definedName name="Environment">'Risk Information '!$H$2:$H$7</definedName>
    <definedName name="Managlist">'Risk Information '!$A$33:$A$36</definedName>
    <definedName name="_xlnm.Print_Area" localSheetId="1">'Risk Register'!$A$1:$K$52</definedName>
    <definedName name="_xlnm.Print_Titles" localSheetId="1">'Risk Register'!$5:$6</definedName>
    <definedName name="Probability">'Risk Information '!$A$2:$A$7</definedName>
    <definedName name="Quality">'Risk Information '!$S$2:$S$7</definedName>
    <definedName name="Quallist">Temp!$A$1:$A$2</definedName>
    <definedName name="test">'Risk Register'!$A$52:$P$53</definedName>
    <definedName name="WHS">'Risk Information '!$A$9:$A$14</definedName>
    <definedName name="WHSlist">Temp!$A$1:$A$48</definedName>
  </definedNames>
  <calcPr calcId="181029"/>
</workbook>
</file>

<file path=xl/calcChain.xml><?xml version="1.0" encoding="utf-8"?>
<calcChain xmlns="http://schemas.openxmlformats.org/spreadsheetml/2006/main">
  <c r="M4" i="8" l="1"/>
  <c r="K16" i="8"/>
  <c r="L16" i="8" s="1"/>
  <c r="F16" i="8"/>
  <c r="M16" i="8" s="1"/>
  <c r="C16" i="8"/>
  <c r="K15" i="8"/>
  <c r="L15" i="8" s="1"/>
  <c r="F15" i="8"/>
  <c r="M15" i="8" s="1"/>
  <c r="C15" i="8"/>
  <c r="K14" i="8"/>
  <c r="L14" i="8" s="1"/>
  <c r="F14" i="8"/>
  <c r="M14" i="8" s="1"/>
  <c r="C14" i="8"/>
  <c r="K13" i="8"/>
  <c r="L13" i="8" s="1"/>
  <c r="F13" i="8"/>
  <c r="G13" i="8" s="1"/>
  <c r="C13" i="8"/>
  <c r="K12" i="8"/>
  <c r="L12" i="8" s="1"/>
  <c r="F12" i="8"/>
  <c r="M12" i="8" s="1"/>
  <c r="C12" i="8"/>
  <c r="K47" i="6"/>
  <c r="L47" i="6" s="1"/>
  <c r="F47" i="6"/>
  <c r="M47" i="6" s="1"/>
  <c r="C47" i="6"/>
  <c r="K46" i="6"/>
  <c r="L46" i="6" s="1"/>
  <c r="F46" i="6"/>
  <c r="M46" i="6" s="1"/>
  <c r="C46" i="6"/>
  <c r="K45" i="6"/>
  <c r="L45" i="6" s="1"/>
  <c r="F45" i="6"/>
  <c r="M45" i="6" s="1"/>
  <c r="C45" i="6"/>
  <c r="L44" i="6"/>
  <c r="K44" i="6"/>
  <c r="F44" i="6"/>
  <c r="G44" i="6" s="1"/>
  <c r="C44" i="6"/>
  <c r="K43" i="6"/>
  <c r="L43" i="6" s="1"/>
  <c r="F43" i="6"/>
  <c r="M43" i="6" s="1"/>
  <c r="C43" i="6"/>
  <c r="K42" i="6"/>
  <c r="L42" i="6" s="1"/>
  <c r="F42" i="6"/>
  <c r="M42" i="6" s="1"/>
  <c r="C42" i="6"/>
  <c r="K41" i="6"/>
  <c r="L41" i="6" s="1"/>
  <c r="F41" i="6"/>
  <c r="M41" i="6" s="1"/>
  <c r="C41" i="6"/>
  <c r="K40" i="6"/>
  <c r="L40" i="6" s="1"/>
  <c r="F40" i="6"/>
  <c r="M40" i="6" s="1"/>
  <c r="C40" i="6"/>
  <c r="K39" i="6"/>
  <c r="L39" i="6" s="1"/>
  <c r="F39" i="6"/>
  <c r="M39" i="6" s="1"/>
  <c r="C39" i="6"/>
  <c r="K38" i="6"/>
  <c r="L38" i="6" s="1"/>
  <c r="F38" i="6"/>
  <c r="M38" i="6" s="1"/>
  <c r="C38" i="6"/>
  <c r="K37" i="6"/>
  <c r="L37" i="6" s="1"/>
  <c r="F37" i="6"/>
  <c r="G37" i="6" s="1"/>
  <c r="C37" i="6"/>
  <c r="K36" i="6"/>
  <c r="L36" i="6" s="1"/>
  <c r="F36" i="6"/>
  <c r="M36" i="6" s="1"/>
  <c r="C36" i="6"/>
  <c r="K35" i="6"/>
  <c r="L35" i="6" s="1"/>
  <c r="F35" i="6"/>
  <c r="M35" i="6" s="1"/>
  <c r="C35" i="6"/>
  <c r="K34" i="6"/>
  <c r="L34" i="6" s="1"/>
  <c r="F34" i="6"/>
  <c r="M34" i="6" s="1"/>
  <c r="C34" i="6"/>
  <c r="K33" i="6"/>
  <c r="L33" i="6" s="1"/>
  <c r="F33" i="6"/>
  <c r="M33" i="6" s="1"/>
  <c r="C33" i="6"/>
  <c r="K32" i="6"/>
  <c r="L32" i="6" s="1"/>
  <c r="F32" i="6"/>
  <c r="M32" i="6" s="1"/>
  <c r="C32" i="6"/>
  <c r="K31" i="6"/>
  <c r="L31" i="6" s="1"/>
  <c r="F31" i="6"/>
  <c r="M31" i="6" s="1"/>
  <c r="C31" i="6"/>
  <c r="K30" i="6"/>
  <c r="L30" i="6" s="1"/>
  <c r="F30" i="6"/>
  <c r="M30" i="6" s="1"/>
  <c r="C30" i="6"/>
  <c r="K29" i="6"/>
  <c r="L29" i="6" s="1"/>
  <c r="F29" i="6"/>
  <c r="M29" i="6" s="1"/>
  <c r="C29" i="6"/>
  <c r="K28" i="6"/>
  <c r="L28" i="6" s="1"/>
  <c r="F28" i="6"/>
  <c r="G28" i="6" s="1"/>
  <c r="C28" i="6"/>
  <c r="K27" i="6"/>
  <c r="L27" i="6" s="1"/>
  <c r="F27" i="6"/>
  <c r="M27" i="6" s="1"/>
  <c r="C27" i="6"/>
  <c r="K26" i="6"/>
  <c r="L26" i="6" s="1"/>
  <c r="F26" i="6"/>
  <c r="M26" i="6" s="1"/>
  <c r="C26" i="6"/>
  <c r="K25" i="6"/>
  <c r="L25" i="6" s="1"/>
  <c r="F25" i="6"/>
  <c r="M25" i="6" s="1"/>
  <c r="C25" i="6"/>
  <c r="K24" i="6"/>
  <c r="L24" i="6" s="1"/>
  <c r="F24" i="6"/>
  <c r="M24" i="6" s="1"/>
  <c r="C24" i="6"/>
  <c r="K23" i="6"/>
  <c r="L23" i="6" s="1"/>
  <c r="F23" i="6"/>
  <c r="M23" i="6" s="1"/>
  <c r="C23" i="6"/>
  <c r="K22" i="6"/>
  <c r="L22" i="6" s="1"/>
  <c r="F22" i="6"/>
  <c r="G22" i="6" s="1"/>
  <c r="C22" i="6"/>
  <c r="K21" i="6"/>
  <c r="L21" i="6" s="1"/>
  <c r="F21" i="6"/>
  <c r="M21" i="6" s="1"/>
  <c r="C21" i="6"/>
  <c r="K20" i="6"/>
  <c r="L20" i="6" s="1"/>
  <c r="F20" i="6"/>
  <c r="M20" i="6" s="1"/>
  <c r="C20" i="6"/>
  <c r="K19" i="6"/>
  <c r="L19" i="6" s="1"/>
  <c r="F19" i="6"/>
  <c r="M19" i="6" s="1"/>
  <c r="C19" i="6"/>
  <c r="K18" i="6"/>
  <c r="L18" i="6" s="1"/>
  <c r="F18" i="6"/>
  <c r="M18" i="6" s="1"/>
  <c r="C18" i="6"/>
  <c r="K17" i="6"/>
  <c r="L17" i="6" s="1"/>
  <c r="F17" i="6"/>
  <c r="M17" i="6" s="1"/>
  <c r="C17" i="6"/>
  <c r="K16" i="6"/>
  <c r="L16" i="6" s="1"/>
  <c r="F16" i="6"/>
  <c r="M16" i="6" s="1"/>
  <c r="C16" i="6"/>
  <c r="K15" i="6"/>
  <c r="L15" i="6" s="1"/>
  <c r="F15" i="6"/>
  <c r="M15" i="6" s="1"/>
  <c r="C15" i="6"/>
  <c r="K14" i="6"/>
  <c r="L14" i="6" s="1"/>
  <c r="F14" i="6"/>
  <c r="M14" i="6" s="1"/>
  <c r="C14" i="6"/>
  <c r="K13" i="6"/>
  <c r="L13" i="6" s="1"/>
  <c r="F13" i="6"/>
  <c r="M13" i="6" s="1"/>
  <c r="C13" i="6"/>
  <c r="K12" i="6"/>
  <c r="L12" i="6" s="1"/>
  <c r="F12" i="6"/>
  <c r="M12" i="6" s="1"/>
  <c r="C12" i="6"/>
  <c r="K11" i="6"/>
  <c r="L11" i="6" s="1"/>
  <c r="F11" i="6"/>
  <c r="M11" i="6" s="1"/>
  <c r="C11" i="6"/>
  <c r="K10" i="6"/>
  <c r="L10" i="6" s="1"/>
  <c r="F10" i="6"/>
  <c r="M10" i="6" s="1"/>
  <c r="C10" i="6"/>
  <c r="K9" i="6"/>
  <c r="L9" i="6" s="1"/>
  <c r="F9" i="6"/>
  <c r="M9" i="6" s="1"/>
  <c r="C9" i="6"/>
  <c r="K8" i="6"/>
  <c r="L8" i="6" s="1"/>
  <c r="F8" i="6"/>
  <c r="M8" i="6" s="1"/>
  <c r="C8" i="6"/>
  <c r="K7" i="6"/>
  <c r="L7" i="6" s="1"/>
  <c r="F7" i="6"/>
  <c r="M7" i="6" s="1"/>
  <c r="C7" i="6"/>
  <c r="K6" i="6"/>
  <c r="L6" i="6" s="1"/>
  <c r="F6" i="6"/>
  <c r="M6" i="6" s="1"/>
  <c r="C6" i="6"/>
  <c r="K5" i="6"/>
  <c r="L5" i="6" s="1"/>
  <c r="F5" i="6"/>
  <c r="M5" i="6" s="1"/>
  <c r="C5" i="6"/>
  <c r="K4" i="6"/>
  <c r="L4" i="6" s="1"/>
  <c r="F4" i="6"/>
  <c r="M4" i="6" s="1"/>
  <c r="C4" i="6"/>
  <c r="K3" i="6"/>
  <c r="L3" i="6" s="1"/>
  <c r="F3" i="6"/>
  <c r="M3" i="6" s="1"/>
  <c r="C3" i="6"/>
  <c r="K2" i="6"/>
  <c r="L2" i="6" s="1"/>
  <c r="F2" i="6"/>
  <c r="M2" i="6" s="1"/>
  <c r="C2" i="6"/>
  <c r="K1" i="6"/>
  <c r="F1" i="6"/>
  <c r="G1" i="6" s="1"/>
  <c r="C1" i="6"/>
  <c r="K11" i="8"/>
  <c r="L11" i="8" s="1"/>
  <c r="F11" i="8"/>
  <c r="G11" i="8" s="1"/>
  <c r="C11" i="8"/>
  <c r="K10" i="8"/>
  <c r="L10" i="8" s="1"/>
  <c r="F10" i="8"/>
  <c r="G10" i="8" s="1"/>
  <c r="C10" i="8"/>
  <c r="K9" i="8"/>
  <c r="L9" i="8" s="1"/>
  <c r="F9" i="8"/>
  <c r="G9" i="8" s="1"/>
  <c r="C9" i="8"/>
  <c r="K8" i="8"/>
  <c r="L8" i="8" s="1"/>
  <c r="F8" i="8"/>
  <c r="G8" i="8" s="1"/>
  <c r="C8" i="8"/>
  <c r="G16" i="8" l="1"/>
  <c r="G15" i="8"/>
  <c r="G14" i="8"/>
  <c r="M13" i="8"/>
  <c r="G12" i="8"/>
  <c r="G47" i="6"/>
  <c r="G46" i="6"/>
  <c r="G45" i="6"/>
  <c r="M44" i="6"/>
  <c r="G43" i="6"/>
  <c r="G42" i="6"/>
  <c r="G41" i="6"/>
  <c r="G40" i="6"/>
  <c r="G39" i="6"/>
  <c r="G38" i="6"/>
  <c r="M37" i="6"/>
  <c r="G36" i="6"/>
  <c r="G35" i="6"/>
  <c r="G34" i="6"/>
  <c r="G33" i="6"/>
  <c r="G32" i="6"/>
  <c r="G31" i="6"/>
  <c r="G30" i="6"/>
  <c r="G29" i="6"/>
  <c r="M28" i="6"/>
  <c r="G27" i="6"/>
  <c r="G26" i="6"/>
  <c r="G25" i="6"/>
  <c r="G24" i="6"/>
  <c r="G23" i="6"/>
  <c r="M22" i="6"/>
  <c r="G21" i="6"/>
  <c r="G20" i="6"/>
  <c r="G19" i="6"/>
  <c r="G18" i="6"/>
  <c r="G17" i="6"/>
  <c r="G16" i="6"/>
  <c r="G15" i="6"/>
  <c r="G14" i="6"/>
  <c r="G13" i="6"/>
  <c r="G12" i="6"/>
  <c r="G11" i="6"/>
  <c r="G10" i="6"/>
  <c r="G9" i="6"/>
  <c r="G8" i="6"/>
  <c r="G7" i="6"/>
  <c r="G6" i="6"/>
  <c r="G5" i="6"/>
  <c r="G4" i="6"/>
  <c r="G3" i="6"/>
  <c r="L1" i="6"/>
  <c r="G2" i="6"/>
  <c r="D2" i="8"/>
  <c r="K7" i="1" l="1"/>
  <c r="F7" i="1"/>
  <c r="C7" i="1"/>
  <c r="L7" i="1" l="1"/>
  <c r="M7" i="1"/>
  <c r="G7" i="1"/>
  <c r="K8" i="1"/>
  <c r="F8" i="1"/>
  <c r="C8" i="1"/>
  <c r="K9" i="1"/>
  <c r="F9" i="1"/>
  <c r="C9" i="1"/>
  <c r="K10" i="1"/>
  <c r="F10" i="1"/>
  <c r="C10" i="1"/>
  <c r="K11" i="1"/>
  <c r="F11" i="1"/>
  <c r="C11" i="1"/>
  <c r="K12" i="1"/>
  <c r="F12" i="1"/>
  <c r="C12" i="1"/>
  <c r="K13" i="1"/>
  <c r="F13" i="1"/>
  <c r="C13" i="1"/>
  <c r="K14" i="1"/>
  <c r="F14" i="1"/>
  <c r="C14" i="1"/>
  <c r="L11" i="1" l="1"/>
  <c r="M8" i="1"/>
  <c r="M13" i="1"/>
  <c r="L13" i="1"/>
  <c r="M10" i="1"/>
  <c r="L10" i="1"/>
  <c r="M12" i="1"/>
  <c r="L14" i="1"/>
  <c r="L8" i="1"/>
  <c r="L12" i="1"/>
  <c r="M9" i="1"/>
  <c r="M11" i="1"/>
  <c r="M14" i="1"/>
  <c r="L9" i="1"/>
  <c r="G8" i="1"/>
  <c r="G9" i="1"/>
  <c r="G10" i="1"/>
  <c r="G11" i="1"/>
  <c r="G12" i="1"/>
  <c r="G13" i="1"/>
  <c r="G14" i="1"/>
  <c r="C15" i="1" l="1"/>
  <c r="F15" i="1"/>
  <c r="M15" i="1" s="1"/>
  <c r="K15" i="1"/>
  <c r="L15" i="1" l="1"/>
  <c r="G15" i="1"/>
  <c r="L63" i="1"/>
  <c r="K63" i="1"/>
  <c r="F63" i="1"/>
  <c r="G63" i="1" s="1"/>
  <c r="C63" i="1"/>
  <c r="K62" i="1"/>
  <c r="L62" i="1" s="1"/>
  <c r="F62" i="1"/>
  <c r="G62" i="1" s="1"/>
  <c r="C62" i="1"/>
  <c r="K61" i="1"/>
  <c r="L61" i="1" s="1"/>
  <c r="F61" i="1"/>
  <c r="G61" i="1" s="1"/>
  <c r="C61" i="1"/>
  <c r="K60" i="1"/>
  <c r="L60" i="1" s="1"/>
  <c r="F60" i="1"/>
  <c r="G60" i="1" s="1"/>
  <c r="C60" i="1"/>
  <c r="K59" i="1"/>
  <c r="L59" i="1" s="1"/>
  <c r="F59" i="1"/>
  <c r="G59" i="1" s="1"/>
  <c r="C59" i="1"/>
  <c r="K58" i="1"/>
  <c r="L58" i="1" s="1"/>
  <c r="F58" i="1"/>
  <c r="G58" i="1" s="1"/>
  <c r="C58" i="1"/>
  <c r="K57" i="1"/>
  <c r="L57" i="1" s="1"/>
  <c r="F57" i="1"/>
  <c r="G57" i="1" s="1"/>
  <c r="C57" i="1"/>
  <c r="K56" i="1"/>
  <c r="L56" i="1" s="1"/>
  <c r="F56" i="1"/>
  <c r="G56" i="1" s="1"/>
  <c r="C56" i="1"/>
  <c r="K55" i="1"/>
  <c r="L55" i="1" s="1"/>
  <c r="F55" i="1"/>
  <c r="G55" i="1" s="1"/>
  <c r="C55" i="1"/>
  <c r="C16" i="1" l="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K16" i="1"/>
  <c r="F17" i="1"/>
  <c r="G17" i="1" s="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L16" i="1" l="1"/>
  <c r="C54" i="1"/>
  <c r="K54" i="1" l="1"/>
  <c r="L54" i="1" s="1"/>
  <c r="G54" i="1"/>
  <c r="G21" i="1" l="1"/>
  <c r="G22" i="1"/>
  <c r="G23" i="1"/>
  <c r="G29" i="1"/>
  <c r="G30" i="1"/>
  <c r="G31" i="1"/>
  <c r="G37" i="1"/>
  <c r="G38" i="1"/>
  <c r="G39" i="1"/>
  <c r="G45" i="1"/>
  <c r="G46" i="1"/>
  <c r="G47" i="1"/>
  <c r="G53" i="1"/>
  <c r="G52" i="1"/>
  <c r="G51" i="1"/>
  <c r="G50" i="1"/>
  <c r="G49" i="1"/>
  <c r="G48" i="1"/>
  <c r="G44" i="1"/>
  <c r="G43" i="1"/>
  <c r="G42" i="1"/>
  <c r="G41" i="1"/>
  <c r="G40" i="1"/>
  <c r="G36" i="1"/>
  <c r="G35" i="1"/>
  <c r="G34" i="1"/>
  <c r="G33" i="1"/>
  <c r="G32" i="1"/>
  <c r="G28" i="1"/>
  <c r="G27" i="1"/>
  <c r="G26" i="1"/>
  <c r="G25" i="1"/>
  <c r="G24" i="1"/>
  <c r="G20" i="1"/>
  <c r="G19" i="1"/>
  <c r="G18" i="1"/>
  <c r="K53" i="1" l="1"/>
  <c r="L53" i="1" s="1"/>
  <c r="R53" i="1"/>
  <c r="M53" i="1" l="1"/>
  <c r="F16" i="1" l="1"/>
  <c r="G16" i="1" s="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M16" i="1" l="1"/>
  <c r="K52" i="1" l="1"/>
  <c r="L52" i="1" s="1"/>
  <c r="K46" i="1"/>
  <c r="K47" i="1"/>
  <c r="K48" i="1"/>
  <c r="L48" i="1" s="1"/>
  <c r="K49" i="1"/>
  <c r="L49" i="1" s="1"/>
  <c r="K50" i="1"/>
  <c r="L50" i="1" s="1"/>
  <c r="K51" i="1"/>
  <c r="L51" i="1" s="1"/>
  <c r="K43" i="1"/>
  <c r="K44" i="1"/>
  <c r="K45" i="1"/>
  <c r="L47" i="1" l="1"/>
  <c r="L45" i="1"/>
  <c r="L46" i="1"/>
  <c r="L43" i="1"/>
  <c r="L44" i="1"/>
  <c r="K37" i="1"/>
  <c r="K38" i="1"/>
  <c r="K39" i="1"/>
  <c r="K40" i="1"/>
  <c r="K41" i="1"/>
  <c r="K42" i="1"/>
  <c r="L40" i="1" l="1"/>
  <c r="L41" i="1"/>
  <c r="L38" i="1"/>
  <c r="L37" i="1"/>
  <c r="L42" i="1"/>
  <c r="L39" i="1"/>
  <c r="K31" i="1"/>
  <c r="K32" i="1"/>
  <c r="K33" i="1"/>
  <c r="K34" i="1"/>
  <c r="K35" i="1"/>
  <c r="K36" i="1"/>
  <c r="L34" i="1" l="1"/>
  <c r="L31" i="1"/>
  <c r="L36" i="1"/>
  <c r="L32" i="1"/>
  <c r="L33" i="1"/>
  <c r="L35" i="1"/>
  <c r="M52" i="1"/>
  <c r="K30" i="1"/>
  <c r="L30" i="1" l="1"/>
  <c r="M30" i="1"/>
  <c r="K29" i="1"/>
  <c r="K28" i="1"/>
  <c r="K27" i="1"/>
  <c r="K26" i="1"/>
  <c r="K25" i="1"/>
  <c r="K24" i="1"/>
  <c r="K23" i="1"/>
  <c r="K22" i="1"/>
  <c r="K21" i="1"/>
  <c r="K20" i="1"/>
  <c r="K19" i="1"/>
  <c r="K18" i="1"/>
  <c r="K17" i="1"/>
  <c r="L27" i="1" l="1"/>
  <c r="L19" i="1"/>
  <c r="L28" i="1"/>
  <c r="L25" i="1"/>
  <c r="L20" i="1"/>
  <c r="L29" i="1"/>
  <c r="L17" i="1"/>
  <c r="L21" i="1"/>
  <c r="L22" i="1"/>
  <c r="L26" i="1"/>
  <c r="L23" i="1"/>
  <c r="L18" i="1"/>
  <c r="L24" i="1"/>
  <c r="M31" i="1"/>
  <c r="M32" i="1"/>
  <c r="M33" i="1"/>
  <c r="M34" i="1"/>
  <c r="M35" i="1"/>
  <c r="M36" i="1"/>
  <c r="M37" i="1"/>
  <c r="M38" i="1"/>
  <c r="M39" i="1"/>
  <c r="M40" i="1"/>
  <c r="M19" i="1"/>
  <c r="M20" i="1"/>
  <c r="M21" i="1"/>
  <c r="M22" i="1"/>
  <c r="M23" i="1"/>
  <c r="M24" i="1"/>
  <c r="M25" i="1"/>
  <c r="M26" i="1"/>
  <c r="M27" i="1"/>
  <c r="M28" i="1"/>
  <c r="M29" i="1"/>
  <c r="M41" i="1"/>
  <c r="M42" i="1"/>
  <c r="M43" i="1"/>
  <c r="M44" i="1"/>
  <c r="M45" i="1"/>
  <c r="M46" i="1"/>
  <c r="M47" i="1"/>
  <c r="M48" i="1"/>
  <c r="M49" i="1"/>
  <c r="M50" i="1"/>
  <c r="M51" i="1"/>
  <c r="M18" i="1"/>
  <c r="M17" i="1"/>
</calcChain>
</file>

<file path=xl/sharedStrings.xml><?xml version="1.0" encoding="utf-8"?>
<sst xmlns="http://schemas.openxmlformats.org/spreadsheetml/2006/main" count="1065" uniqueCount="322">
  <si>
    <t>Project Number</t>
  </si>
  <si>
    <t>Project Manager</t>
  </si>
  <si>
    <t>Project Director</t>
  </si>
  <si>
    <t>Description</t>
  </si>
  <si>
    <t>(signature)</t>
  </si>
  <si>
    <t>5-Almost Certain-Almost 100% that this risk will occur throughout the project</t>
  </si>
  <si>
    <t>4 = Likely – The risk is likely to occur throughout the project.</t>
  </si>
  <si>
    <t>3 = Possible – There is unknown certainty if this risk will occur throughout the project.</t>
  </si>
  <si>
    <t xml:space="preserve">2 = Unlikely – The risk may occur throughout the project but assumed not to. </t>
  </si>
  <si>
    <t>1 = Rare – The risk may only occur in exceptional circumstances.</t>
  </si>
  <si>
    <t>Hazard:</t>
  </si>
  <si>
    <t>Reference</t>
  </si>
  <si>
    <t>Likelihood</t>
  </si>
  <si>
    <t>Definition for risk severity</t>
  </si>
  <si>
    <t>5 = Extreme - Fatality, permanent damage to persons or property, long term widespread impacts, huge financial loss. Work is stopped immediately for an undetermined amount of time.</t>
  </si>
  <si>
    <t>4 = Major – Permanent damage to persons or property, medium to long term widespread impacts, major financial loss. Work must be stopped momentarily.</t>
  </si>
  <si>
    <t>3 = Moderate – Reportable damage of injury, reversible medium term local impact, high financial loss. Small prevention to workflow.</t>
  </si>
  <si>
    <t>2 = Minor – Minimal damage to property or persons, reversible short-medium term impact on local area, medium financial loss. Minor Inconvenience to workflow</t>
  </si>
  <si>
    <t>1 = Insignificant – First aid, limited impact to minimal area, low financial loss. Small inconvenience to workflow.</t>
  </si>
  <si>
    <t>Permisison To Work Matrix</t>
  </si>
  <si>
    <r>
      <t xml:space="preserve">Work is </t>
    </r>
    <r>
      <rPr>
        <sz val="10"/>
        <color rgb="FFFF0000"/>
        <rFont val="Arial"/>
        <family val="2"/>
      </rPr>
      <t xml:space="preserve">unable to proceed </t>
    </r>
    <r>
      <rPr>
        <sz val="10"/>
        <color theme="1"/>
        <rFont val="Arial"/>
        <family val="2"/>
      </rPr>
      <t>until the risk can be reduced.</t>
    </r>
  </si>
  <si>
    <r>
      <t xml:space="preserve">Permission from worker in charge </t>
    </r>
    <r>
      <rPr>
        <sz val="10"/>
        <color theme="1"/>
        <rFont val="Arial"/>
        <family val="2"/>
      </rPr>
      <t>is permitted before work can proceed.</t>
    </r>
  </si>
  <si>
    <t>No permission is needed. Work is able to proceed.</t>
  </si>
  <si>
    <t>Action Required</t>
  </si>
  <si>
    <t>SWMS/JHEA</t>
  </si>
  <si>
    <t>Workers being struck by vehicles or trains</t>
  </si>
  <si>
    <t>Control Measures</t>
  </si>
  <si>
    <t>Hazardous Areas (Trip Hazards, falls, slippery surfaces, mud, Insects, Snakes, Vermin, etc.</t>
  </si>
  <si>
    <t>Environmental Conditions (Heat, Rain, Storms, Wind, Overcast, Cold, etc.)</t>
  </si>
  <si>
    <t>Medical Emergency (illness, Stroke, Heart attack, etc.)</t>
  </si>
  <si>
    <t>Season Weather (Dust, Pollen, etc.</t>
  </si>
  <si>
    <t>Ongoing risk to Public/Site personnel</t>
  </si>
  <si>
    <t>•Obtain local weather information from authorities and plan to suit conditions or post pone visit for another day
•Wear eye protection to protect eyes from unsettled dust, pollen, etc.
•If worker if subject to hay fever/insect bites then bring medication/epipen to site.</t>
  </si>
  <si>
    <t>•Ensure all vehicles are properly maintained
•Comply with road rules and manage fatigue
•Ensure parked vehicle does not obscure moving traffic
•When exiting vehicle ensure a safe distance from incoming traffic</t>
  </si>
  <si>
    <t>•All Personnel to wear High Visibility clothing.
•If applicable traffic management and/or signage to be implemented
•Personnel entering and exiting work zone to be cautious of all traffic.
•Minimum two personnel to be working near roads (one to monitor and alert the other of traffic movements and one to perform works).</t>
  </si>
  <si>
    <t>Inexperienced personnel unaware of site conditions and work hazards</t>
  </si>
  <si>
    <t>•All Personnel to undergo specific training such as site induction, work activity awareness, etc. (If Required) before commencing work
•Competent persons only to complete tasks or be safety observers</t>
  </si>
  <si>
    <t>Faulty Equipment</t>
  </si>
  <si>
    <t>Shock Hazards, Electrocutions, burns, etc.</t>
  </si>
  <si>
    <t>Danger to the Public</t>
  </si>
  <si>
    <t>Loss/Damage to Equipment (Pillar Bolts, Streetlight Plate Screws, etc.)</t>
  </si>
  <si>
    <t>Remote Isolation Point greater than 20 metres or not visible</t>
  </si>
  <si>
    <t>•Tools and equipment to be removed
•Safety precautions to be reinstated
•Workers to sign in and out of site
•Workers to ensure work area is cleaned before and after inspection identify any additional hazards
•Access to be restricted upon exit to eliminate unqualified persons access</t>
  </si>
  <si>
    <t xml:space="preserve">•Perform an initial visual and audible inspection to ensure no obvious harm may arise from accessing pillar, streetlight, etc.
•Licensed Electrician to be the only personnel conducting inspections.
•Live work only for testing
•Wear appropriate PPE (insulated gloves)
•Conduct work in a safe and organised manner.
•Maintain visual and audible contact with competent assistant </t>
  </si>
  <si>
    <t>•Establish a physical barrier which restricts access for the public (if necessary)
•Ensure that inspection of the asset will not inhibit use of equipment</t>
  </si>
  <si>
    <t>•Have a bag specific for bolts, washers, screws etc. and ensure safety and functionality of equipment
•If equipment is lost or damaged and cannot be returned to normal functionality, call asset owner and wait they arrive
•Ensure safe working conditions
•Ensure correct procedures taken when measuring equipment
•If equipment is lost or damaged and cannot be returned to normal functionality, call asset owner and wait they arrive</t>
  </si>
  <si>
    <t>•Locate Isolation point prior to conducting any work
•If location is greater than 20m, competent assistant to stay at isolation point and maintain visual or verbal contact (walkie talkie) with competent assistant supervising Licenced Electrician (minimum 3 personnel)</t>
  </si>
  <si>
    <r>
      <t xml:space="preserve">Permission from high level management </t>
    </r>
    <r>
      <rPr>
        <sz val="10"/>
        <color theme="1"/>
        <rFont val="Arial"/>
        <family val="2"/>
      </rPr>
      <t>is permitted before work can proceed or further reduce risk.</t>
    </r>
  </si>
  <si>
    <t>Sign Off</t>
  </si>
  <si>
    <t>Date</t>
  </si>
  <si>
    <t>UV Exposure</t>
  </si>
  <si>
    <t>•Obtain local weather information from authorities and plan to suit conditions or post pone visit for another day
•Wear Sunscreen,Hats, Long pants, long shirts and Sunglasses
•Where practical, schedule inspections outside peak UV hours (Before 10am or after 3pm)</t>
  </si>
  <si>
    <t>Eye Injury</t>
  </si>
  <si>
    <t>•Wear Safety glasses or sunglasses at all times
•Where practical, avoid site inspections during times of high wind
•When possible, stand up wind during inspection to avoid direct contact to face.</t>
  </si>
  <si>
    <t>Respiratory Distress</t>
  </si>
  <si>
    <t>•Wear breathing apparatus if necessary
•Where practical, avoid site inspections during times of high wind
•When possible, stand up wind during inspection to avoid direct contact to face.
•If inspector is known to have respiratory issues, either refrain from doing task which may aggravate issue or bring medication (asthma buffer, etc.).</t>
  </si>
  <si>
    <t>Audible Distress</t>
  </si>
  <si>
    <t>•Wear hearing protection, if necessary (try to avoid)
•Where practical, avoid site inspections during times of construction using loud equipment
•When possible, work in the construction lunch break to avoid noise that may inhibit communication with competent supervisor or inspection.</t>
  </si>
  <si>
    <t xml:space="preserve">•Locate first aid kit prior to all work
•Ensure that all workers are mentally and physically fit for work
•If a worker requires medication/prescription ensure that it is provided and that the work will not counter-act effects.
•If any signs of potential medical emergency call 000 and obtain the first aid kit and provide assistance until help arrives.
•If working remotely take note of closest emergency services and ensure a suitable device for radioing (mobile, radio, walkie-talkie) </t>
  </si>
  <si>
    <t>Plant striking power lines/arcing faults</t>
  </si>
  <si>
    <t xml:space="preserve">•Qualified Spotter on site (if Required)
•No equipment that can strike Overhead power lines to be used (collapsible pole)
•Plan the most appropriate/safest location to measure conductor heights
•Non-conductive/insulated medium to be used for measurements
•Equipment (calibration/insulation) to be tested before each use
</t>
  </si>
  <si>
    <t>•Perform a visual inspection to ensure no obvious harm may arise from being too close to overhead lines.</t>
  </si>
  <si>
    <t>Defective Installation causing electrocution</t>
  </si>
  <si>
    <t>Plant Striking Equipment causing damages</t>
  </si>
  <si>
    <t>•Maintain an appropriate, safe distance from pole mounted apparatus if applicable
•Qualified spotter to ensure distances are maintained (if applicable)</t>
  </si>
  <si>
    <t>Weather Causing lines to sag (due to heat) or sway (due to wind)</t>
  </si>
  <si>
    <t>•Obtain local weather information from authorities and plan to suit conditions or post pone visit for another day
•Qualified spotter to ensure distances are maintained (if applicable)
•Non-conductive medium to be used for measurements
•No equipment that can strike Overhead power lines to be used</t>
  </si>
  <si>
    <t>Untrained personel</t>
  </si>
  <si>
    <t xml:space="preserve">•Check Qualifications
•Prestart site inspection
•Entry permits obtained from person in control
</t>
  </si>
  <si>
    <t xml:space="preserve">•Obtain local weather information from authorities and plan to suit conditions or post pone visit for another day
•Wear Sunscreen,Hats and Sunglasses
•Be aware that weather conditions may inhibit visibility of drivers
</t>
  </si>
  <si>
    <t>Heat Stress</t>
  </si>
  <si>
    <t>•Perform an initial visual inspection of the work area and ensure there are no obvious threats
•Identify potential tripping hazards, slippery surfaces or potential hazardous surfaces and if possible remove or create barriers
•Do not run
•Constant communication between entrant and person on standay (if applicable)
•Observer to maintain continual surveillance to warn of any unexpected vermin.
•Personal liability for safety is essential
•Fall Restraints (where applicable)
•Emergency Rescue Equipment in place
•Appropriate PPE
•Adequate Lighting</t>
  </si>
  <si>
    <t>Incorrect Equipment Use</t>
  </si>
  <si>
    <t>•Operators to sign in and out on entry permit
•Standby person to ensure all entrants have exited work area</t>
  </si>
  <si>
    <t>•All equipment serviced, calibrated and operational (Breathing apparatus, gas detectors, ventilator fans, tesing equipment, harness, etc.  if applicable)</t>
  </si>
  <si>
    <t>Engulfment from water</t>
  </si>
  <si>
    <t>•Flow controlled by asset owner/client or monitored on site
•Constant communication between entrant and person on standby
•Work area isolated
•Rescue equipment and procedures in place</t>
  </si>
  <si>
    <t>Personnel Struck by Plant</t>
  </si>
  <si>
    <t>•Operators to be aware of location of site personnel
•Site personnel to wear High visibility clothing
•Restrict access to plant while personnel are in vicinity</t>
  </si>
  <si>
    <t>Falling Into Trench</t>
  </si>
  <si>
    <t>•Ensure all trenches have been clearly identified before conducting inspection
•Worker to be alert to/remove any potential tripping hazards</t>
  </si>
  <si>
    <t>Cave in of Excavation</t>
  </si>
  <si>
    <t>Poor Access leading to unsuitable/unsafe work</t>
  </si>
  <si>
    <t>•Worker to ensure that site is safe to inspect and no harm may come from testing
•Worker to ensure that workplace is tidy and clean</t>
  </si>
  <si>
    <t>Manual Handling (Opening and Closing heavy substation doors)</t>
  </si>
  <si>
    <t>•Correct handling techniques
•Door to be secured after opening to prevent unplanned movement in windy conditions</t>
  </si>
  <si>
    <t>Contact with Live Components (LV)</t>
  </si>
  <si>
    <t>•Appropriate PPE
•Testing only allowed
•Ensure safe working conditions
•Maintain safe working distance as per utility Substation Entry electrical safety rules
•Any unnecessary conductive material (watches, jewellery, etc.) to be removed
•Maintain safe working distances as per utility Substation Entry electrical safety rules
•Ensure that stable footing is maintained to prevent falling on live assets
•Observer to monitor safe distances</t>
  </si>
  <si>
    <t>Contact with Live Components (HV)</t>
  </si>
  <si>
    <t>•All operational works and routes to be clearly explained prior to site inspection to ensure no halt of construction or injury
•Visit site on day that machinery is not being used (if applicable).</t>
  </si>
  <si>
    <t>•Authorised personnel only in area (use fencing and signage)
•Inspect ground condition before entering/exiting trench
•Ensure trench has been shored, benched and battered (if deeper than 1.5m).
•All operational works and routes to be clearly explained prior to site inspection to ensure no halt of construction or injury
•Ensure no external force can cave trench
•Ensure backfill is not within 2m of trench</t>
  </si>
  <si>
    <t>Interference with machinery path</t>
  </si>
  <si>
    <t>Unable to access site causing delays</t>
  </si>
  <si>
    <t>•Speak with the site contact and coordinate the day in which the site visit will commence
•Provide appropriate PPE and equipment</t>
  </si>
  <si>
    <t>Hazardous Substances (Abandoned Sharps, Radio Transmitters, etc.)</t>
  </si>
  <si>
    <t>•Ensure area is clear from sharps.
•If a sharp is present inform Site supervisor and wear appropriate PPE to remove
•Do not come within 3m of a transmitting source</t>
  </si>
  <si>
    <t>Personnel Resonsible</t>
  </si>
  <si>
    <t>SAFE WORK METHOD STATEMENT-</t>
  </si>
  <si>
    <t>SWMS001 INSPECTION NEAR ROADS OR RAILWAYS</t>
  </si>
  <si>
    <t>SWMS002 FIELD MEASUREMENT OF OVERHEAD LINE SELECTION</t>
  </si>
  <si>
    <t>SWMS004 INSPECTION OF EXCAVATION</t>
  </si>
  <si>
    <t>SWMS005 INSPECTION OF LIVE GROUND BASED HV ASSETS</t>
  </si>
  <si>
    <t>SWMS006 INSPECTION OF LIVE GROUND BASED LV ASSETS</t>
  </si>
  <si>
    <t>SWMS007 INSPECTION OF LIVE OVERHEAD ASSETS</t>
  </si>
  <si>
    <t>SWMS008 INSPECTION OF SITE WITH CONSTRUCTION MACHINERY</t>
  </si>
  <si>
    <t>SWMS009 INSPECTION OF SITE UNDER CONSTRUCTION</t>
  </si>
  <si>
    <t>SWMS010 EARTHING ANALYSIS OF SITE</t>
  </si>
  <si>
    <t>Application:</t>
  </si>
  <si>
    <t>Job Location:</t>
  </si>
  <si>
    <t>Company Name:</t>
  </si>
  <si>
    <t>Job No:</t>
  </si>
  <si>
    <t>Company Adress</t>
  </si>
  <si>
    <t>Compant Contact</t>
  </si>
  <si>
    <t>Phone Number:</t>
  </si>
  <si>
    <t>Risk Rating (Uncontrolled)</t>
  </si>
  <si>
    <t>Consequence</t>
  </si>
  <si>
    <t>Risk Rating (Controlled)</t>
  </si>
  <si>
    <t>Management System</t>
  </si>
  <si>
    <t>Management group listings</t>
  </si>
  <si>
    <t>Quality</t>
  </si>
  <si>
    <t>Refrence</t>
  </si>
  <si>
    <t>ISO 9001:2015</t>
  </si>
  <si>
    <t>AS/NZS ISO 14001:2016</t>
  </si>
  <si>
    <t>Unlikely</t>
  </si>
  <si>
    <t>5 = Major – Permanent damage to persons or property, medium to long term widespread impacts, major financial loss. Work must be stopped momentarily.</t>
  </si>
  <si>
    <t>2 = Rare – The risk may only occur in exceptional circumstances.</t>
  </si>
  <si>
    <t>Low risk to the environment that may benefit from further management</t>
  </si>
  <si>
    <t>May occur in exceptional circumstances</t>
  </si>
  <si>
    <t>Power use</t>
  </si>
  <si>
    <t>Fuel use</t>
  </si>
  <si>
    <t>Electrical designs impact on land</t>
  </si>
  <si>
    <t>Biosecurity risk</t>
  </si>
  <si>
    <t>Vehicle could leak contaminants because of breakdown</t>
  </si>
  <si>
    <t>Contractor has an environmental, heritage or cultural impact of any significance</t>
  </si>
  <si>
    <t>physical copies of design, reports and certifications are needed for clients and running of the business paper materials are used</t>
  </si>
  <si>
    <t>•Mitigate paper usage by recycling
•Buying locally sourced paper that is either to Australian Forestry Standard or Programme for the Endorsement of Forest Certification or Carbon Neutral Certification to reduce the impact on forest and to reduced emissions. (immeasurable amount)</t>
  </si>
  <si>
    <t>Reduce power consumption from mains by implementing solar power</t>
  </si>
  <si>
    <t>•Use a hybrid car to reduce fuel consumption
•If multiple employees are heading in a similar direction then organise one trip. This will reduce multiple uses of the car</t>
  </si>
  <si>
    <t>Site inspections and checks during the design process could reduce the risk of environmental, heritage or cultural impacts</t>
  </si>
  <si>
    <t>Educate staff on current outbreaks in Far North Queensland at environmental meeting with a picture of the threat and some basic information on what to watch out for and how to void it. Also use a site inspection check list to ensure staff are looking for the right signs during a site inspection</t>
  </si>
  <si>
    <t>Keep cars serviced</t>
  </si>
  <si>
    <t>Ensure staff know to stick to the service track</t>
  </si>
  <si>
    <t>Impact on cultural or heritige sites at field locations</t>
  </si>
  <si>
    <t>•Use a check list for database conformation to make sure there are no cultural or heritage listed sites in location.
•Train staff on identifying possible cultrual sites for site inspections</t>
  </si>
  <si>
    <t>Once in 100 years</t>
  </si>
  <si>
    <t>Once in 3 to 10 years</t>
  </si>
  <si>
    <t>Once in 1 to 3 years</t>
  </si>
  <si>
    <t>Once a year or more frequent</t>
  </si>
  <si>
    <t>Once in 10 to 50 years</t>
  </si>
  <si>
    <t>Moderate risk to the environment that will need further management to the risk</t>
  </si>
  <si>
    <t>5 = Long term environmental damage (5 years or longer), requiring $5 million to correct or in penalties</t>
  </si>
  <si>
    <t>4 = Medium-term (1-5 years) environmental Damage, requiring $1 to $5 million to correct or in penalties</t>
  </si>
  <si>
    <t>3 = Short-term (less than 1 year) environmental damage, requiring up to $1 million to correct</t>
  </si>
  <si>
    <t>2 = Environmental damage, requiring up to $150,000 to study or correct</t>
  </si>
  <si>
    <t>1 = Negligible environmental impact, managed within the operating budget</t>
  </si>
  <si>
    <t>Definition for environmental risk likelihood</t>
  </si>
  <si>
    <t>WHS</t>
  </si>
  <si>
    <t>Environment</t>
  </si>
  <si>
    <t xml:space="preserve"> </t>
  </si>
  <si>
    <t>Definition for WHS risk likelihood</t>
  </si>
  <si>
    <t>Low (1)</t>
  </si>
  <si>
    <t>Will probably occur in most circumstances</t>
  </si>
  <si>
    <t>Expected to occur in most circumstances</t>
  </si>
  <si>
    <t>None</t>
  </si>
  <si>
    <t>Cost not visible</t>
  </si>
  <si>
    <t>No</t>
  </si>
  <si>
    <t>Minor verbal complaint likely</t>
  </si>
  <si>
    <t>Minor deviation</t>
  </si>
  <si>
    <t>Resolved locally by the Office Manager/s</t>
  </si>
  <si>
    <t>Some minor contamination of soil, water, air, flora, fauna which is easily and effectively rectified.</t>
  </si>
  <si>
    <t>Incident required work to stop momentarily.</t>
  </si>
  <si>
    <t>Financial loss recovered within 1 week</t>
  </si>
  <si>
    <t>Written complaints certain</t>
  </si>
  <si>
    <t>Noticeable deviation</t>
  </si>
  <si>
    <t>Resource allocation required by Company Management (within budget)</t>
  </si>
  <si>
    <t>Likely to lead to inconvenience and rework</t>
  </si>
  <si>
    <t>Successful litigation unlikely</t>
  </si>
  <si>
    <t>Minor affect</t>
  </si>
  <si>
    <t>Minor contamination of soil, water, air, flora, fauna or humans that is well within the ability and resources of the Company to rectify.</t>
  </si>
  <si>
    <t>Financial impact overcome within 1 year</t>
  </si>
  <si>
    <t>Significant verbal and written complaint/s certain</t>
  </si>
  <si>
    <t>Significant deviation</t>
  </si>
  <si>
    <t>High cost of resource allocation (outside budget)</t>
  </si>
  <si>
    <t>Requires rework and remedy could lead to injury</t>
  </si>
  <si>
    <t>Litigation likely</t>
  </si>
  <si>
    <t>Moderate affect</t>
  </si>
  <si>
    <t>Contamination of soil, water, air, flora, fauna or humans that requires significant Company resources to rectify</t>
  </si>
  <si>
    <t>Significant loss affects are felt  over multiple years</t>
  </si>
  <si>
    <t>Significant complaints made publicly</t>
  </si>
  <si>
    <t>Significant unjustifiable deviation with serious implication</t>
  </si>
  <si>
    <t>Significant resource allocation with very high cost of corrective action</t>
  </si>
  <si>
    <t>Could result in death or significant damage</t>
  </si>
  <si>
    <t>Successful litigation almost certain to follow</t>
  </si>
  <si>
    <t>Significant affect</t>
  </si>
  <si>
    <t>Significant and EPA reportable contamination of soil, water, air, flora, fauna or humans requiring significant resources beyond the ability of the Company to rectify</t>
  </si>
  <si>
    <t>Unrecoverable loss and bankruptcy</t>
  </si>
  <si>
    <t>Not likely to happen, but could occur at some time</t>
  </si>
  <si>
    <t>Might occur at some time</t>
  </si>
  <si>
    <t>Low (1 - 4)</t>
  </si>
  <si>
    <t>Moderate (5 - 9)</t>
  </si>
  <si>
    <t>REQUIRED ACTIONS</t>
  </si>
  <si>
    <t>RISK MATRIX</t>
  </si>
  <si>
    <t>LIKELIHOOD</t>
  </si>
  <si>
    <t>SERVERITY / CONSEQUENCES / IMPACT</t>
  </si>
  <si>
    <t>INSIGNIFICANT (1)</t>
  </si>
  <si>
    <t>MINOR (2)</t>
  </si>
  <si>
    <t>MODERATE (3)</t>
  </si>
  <si>
    <t>MAJOR (4)</t>
  </si>
  <si>
    <t>CATASTROPHIC (5)</t>
  </si>
  <si>
    <t>RARE (1)</t>
  </si>
  <si>
    <t>UNLIKELY (2)</t>
  </si>
  <si>
    <t>POSSIBLE (3)</t>
  </si>
  <si>
    <t>LIKELY (4)</t>
  </si>
  <si>
    <t>ALMOST CERTAIN (5)</t>
  </si>
  <si>
    <t>Managed by routine procedures.  Records should be audited annually.  Work may proceed without specific management oversight.</t>
  </si>
  <si>
    <t>Management responsibility must be specified.  Policy and procedures must be documented.  Works cannot proceed without management oversight.  Records should be audited annually.</t>
  </si>
  <si>
    <t xml:space="preserve">Management attention is needed. Control/preventive measures must be documented, monitored, measured and reviewed periodically for adequacy and compliance. Director must be directly involved and approve in writing for works to proceed.  Responsibility for monitoring and verification activities must be clearly defined and documented.  Corrective action (to be taken when unacceptable variations occur) must be documented.  Records must be maintained to demonstrate that the above requirements are being undertaken, and audited at least monthly. </t>
  </si>
  <si>
    <r>
      <t xml:space="preserve">Management must give this area high priority. Immediate action is required to bring the risk under control.  </t>
    </r>
    <r>
      <rPr>
        <b/>
        <sz val="10"/>
        <color theme="1"/>
        <rFont val="Arial"/>
        <family val="2"/>
      </rPr>
      <t>No extreme risk rating works may be carried out under any circumstances.</t>
    </r>
    <r>
      <rPr>
        <sz val="10"/>
        <color theme="1"/>
        <rFont val="Arial"/>
        <family val="2"/>
      </rPr>
      <t xml:space="preserve"> Control/preventive measures must be documented, monitored, measured and reviewed periodically for adequacy and compliance.  Responsibility for monitoring and verification activities must be clearly defined and documented. Frequency of verification and validation activities (to check that controls are being applied and are effective) must be defined and documented.  Corrective action (to be taken when unacceptable variations occur) must be documented.  Records must be maintained to demonstrate that the above requirements are being undertaken, and audited at least monthly. </t>
    </r>
  </si>
  <si>
    <t>Low (2)</t>
  </si>
  <si>
    <t>Low (3)</t>
  </si>
  <si>
    <t>Low (4)</t>
  </si>
  <si>
    <t>Moderate (5)</t>
  </si>
  <si>
    <t>High (10)</t>
  </si>
  <si>
    <t>High (15)</t>
  </si>
  <si>
    <t>High (12)</t>
  </si>
  <si>
    <t>Extreme (16)</t>
  </si>
  <si>
    <t>Extreme (20)</t>
  </si>
  <si>
    <t>Extreme (25)</t>
  </si>
  <si>
    <t>Moderate (8)</t>
  </si>
  <si>
    <t>Moderate (6)</t>
  </si>
  <si>
    <t>Moderate (9)</t>
  </si>
  <si>
    <t>Minor damage to the cultrural or heritage site. May nor maynot be repairable dependent on the type site.</t>
  </si>
  <si>
    <t>Major damage to the cultrural or heritage site. May nor maynot be repairable dependent on the type site and will need to be reported to the approiate regulator.</t>
  </si>
  <si>
    <t>Moderate damage to the cultrural or heritage site. May nor maynot be repairable dependent on the type site and will need to be reported to the approiate regulator.</t>
  </si>
  <si>
    <t>Catastrophic damage to the cultrural or heritage site.  Site most likle damaged beyond repair and will need to be reported to the approiate regulator.</t>
  </si>
  <si>
    <t>Work Health and Safety Act (QLD) 2013</t>
  </si>
  <si>
    <t>5 = Almost Certain-Almost 100% that this risk will occur throughout the project</t>
  </si>
  <si>
    <r>
      <t>o</t>
    </r>
    <r>
      <rPr>
        <sz val="7"/>
        <color theme="1"/>
        <rFont val="Times New Roman"/>
        <family val="1"/>
      </rPr>
      <t xml:space="preserve">  </t>
    </r>
    <r>
      <rPr>
        <sz val="9"/>
        <color theme="1"/>
        <rFont val="Arial"/>
        <family val="2"/>
      </rPr>
      <t>Minor loss or damage to property.
o  Injury but medical attention/ treatment not required, or</t>
    </r>
  </si>
  <si>
    <r>
      <t>o</t>
    </r>
    <r>
      <rPr>
        <sz val="7"/>
        <color theme="1"/>
        <rFont val="Times New Roman"/>
        <family val="1"/>
      </rPr>
      <t xml:space="preserve">  </t>
    </r>
    <r>
      <rPr>
        <sz val="9"/>
        <color theme="1"/>
        <rFont val="Arial"/>
        <family val="2"/>
      </rPr>
      <t>Injury with medical attention or treatment required but not life-threatening, or
o  Loss or damage to property.</t>
    </r>
  </si>
  <si>
    <r>
      <t>o</t>
    </r>
    <r>
      <rPr>
        <sz val="7"/>
        <color theme="1"/>
        <rFont val="Times New Roman"/>
        <family val="1"/>
      </rPr>
      <t xml:space="preserve">  </t>
    </r>
    <r>
      <rPr>
        <sz val="9"/>
        <color theme="1"/>
        <rFont val="Arial"/>
        <family val="2"/>
      </rPr>
      <t>Death or serious injury, or
o  Significant loss or damage to property.</t>
    </r>
  </si>
  <si>
    <t>Definition for quality consequence</t>
  </si>
  <si>
    <t>1 = None</t>
  </si>
  <si>
    <t>2 = Financial loss recovered within 1 week</t>
  </si>
  <si>
    <t>3 = Financial impact overcome within 1 year</t>
  </si>
  <si>
    <t>4 = Significant loss affects are felt  over multiple years</t>
  </si>
  <si>
    <t>5 = Unrecoverable loss and bankruptcy</t>
  </si>
  <si>
    <t>3 = Possible – Once in 3 to 10 years</t>
  </si>
  <si>
    <t>5 = Almost Certain-Once a year or more frequent</t>
  </si>
  <si>
    <t>4 = Likely – Once in 1 to 3 years</t>
  </si>
  <si>
    <t>2 = Unlikely – Once in 10 to 50 years</t>
  </si>
  <si>
    <t>1 = Rare – Once in 100 years</t>
  </si>
  <si>
    <t>RISK LEVEL</t>
  </si>
  <si>
    <t>LIKELIHOOD LEVEL</t>
  </si>
  <si>
    <t>LIKELIHOOD DESCRIPTION</t>
  </si>
  <si>
    <t>LIKELIHOOD EXAMPLES</t>
  </si>
  <si>
    <t>LOW (1 - 4)</t>
  </si>
  <si>
    <t>MODERATE (5 - 9)</t>
  </si>
  <si>
    <t>HIGH (10 - 15)</t>
  </si>
  <si>
    <t>EXTREME (16 - 25)</t>
  </si>
  <si>
    <t>SEVERITY / CONSEQUENCE / IMPACT LEVEL</t>
  </si>
  <si>
    <t>CULTURAL HERITAGE</t>
  </si>
  <si>
    <t>FINANCIAL RISK</t>
  </si>
  <si>
    <t>INJURY OR DAMAGE TO PERSONS OR PROPERTY</t>
  </si>
  <si>
    <t>ENVIORNMENTAL IMPACT</t>
  </si>
  <si>
    <t>DAMAGE TO REPUTATION</t>
  </si>
  <si>
    <t>LITIGATION POTENTIAL</t>
  </si>
  <si>
    <t>FAILURE TO COMPLY WITH STAKEHOLDER REQUIREMENTS AND LEGISLATION</t>
  </si>
  <si>
    <t>COST OF CORRECTIVE ACTION</t>
  </si>
  <si>
    <t>FAILURE TO COMPLY TO CLIENT BRIEF</t>
  </si>
  <si>
    <t>VALID COMPLAINTS</t>
  </si>
  <si>
    <t xml:space="preserve">RELATIONSHIP BETWEEN SEVERITY AND CONSEQUENCES </t>
  </si>
  <si>
    <t>RISK</t>
  </si>
  <si>
    <t>Select</t>
  </si>
  <si>
    <t>•All drivers use headlights
•All vehicles users have a valid licence
•vehicles are vell maintained
•Wait for better weather
•Minimum two personnel to be working near roads (one to monitor and alert the other of traffic movements and one to perform works).</t>
  </si>
  <si>
    <t>Field inspections</t>
  </si>
  <si>
    <t>Conduct a JHA
Do not work on any equipment
Field inspections are for observations and pictures.</t>
  </si>
  <si>
    <t>Site inspections</t>
  </si>
  <si>
    <t>Construction sites</t>
  </si>
  <si>
    <t>All engineering and technical officers are to hold a Qld “Blue Card”
Check in with the site manager to register on site and check for site specific inductions
Ask for any site specific hazards</t>
  </si>
  <si>
    <t>Safety of the public</t>
  </si>
  <si>
    <t xml:space="preserve">• Guards and barriers should protect the public from worksites and extreme hazards_x000D_
• If hazards are unguarded then report it </t>
  </si>
  <si>
    <t>The use of height sticks</t>
  </si>
  <si>
    <t>Car crash due to increased risk of wet weather</t>
  </si>
  <si>
    <t>The use of hand tools</t>
  </si>
  <si>
    <t>• Hand tools should be checked for operability before use_x000D_
• Use a wrist strap or lanyard if working at hieghts or above others_x000D_
• Electrical tools should have appropiate tagging and correct protection worn</t>
  </si>
  <si>
    <t>The use of power tools</t>
  </si>
  <si>
    <t>The use of ladders</t>
  </si>
  <si>
    <t>• Ladders will be kept in good condition_x000D_
• Tied off at the top (with the rise at least 1 metre above the landing) and positioned on solid level ground)_x000D_
• Put away when not needed_x000D_
• Ladders are not to be used in place of scaffold_x000D_
• Always face the ladder when ascending or descending_x000D_
• Ladders made fastening cleats across stiles are not to be used_x000D_
• Where ladders are used for access, they are to extend to a minimum of one meter above the areas being served_x000D_
• Ladders should be so placed that the horizontal distance between the vertical projection at the top of the support and the foot of the ladder is approximately one quarter of the supported length of the ladder_x000D_
• The top of the ladder is to be secured in position as soon as the ladder is set up_x000D_
• wire-reinforced ladders and metal ladders are not to be used where any electrical hazards exist_x000D_
• No ladder, except a trestle ladder is to be used to support a plank</t>
  </si>
  <si>
    <t>Not saving emails</t>
  </si>
  <si>
    <t>• Use the mail app by Matt_x000D_
• Ensure all emails are saved when read</t>
  </si>
  <si>
    <t>Current Version Date</t>
  </si>
  <si>
    <t>Current Version Created By</t>
  </si>
  <si>
    <t>DG</t>
  </si>
  <si>
    <t>Who Can Update Document</t>
  </si>
  <si>
    <t>Initial Issue</t>
  </si>
  <si>
    <t>REVISION DETAILS</t>
  </si>
  <si>
    <t>BY</t>
  </si>
  <si>
    <t>DATE</t>
  </si>
  <si>
    <t>SP/DG/JE</t>
  </si>
  <si>
    <t>Added a SWMS complier that can compile a SWMS with a search or dropdown list</t>
  </si>
  <si>
    <t>Added a SWMS generator to save the swims into a new workbook</t>
  </si>
  <si>
    <t>Changed the SWMS generator to do lists from multiple searches or dropdown lists rather that a single search</t>
  </si>
  <si>
    <t>© This document is copyright with copyright retained by Smithy Consulting Engineers (QLD) Pty Ltd. Reproduction in whole or part is not permitted without written permission from Smithy Director/s. PRINT WARNING: Printed “Uncontrolled” copies of this document or part thereof should not be relied upon as a current reference document. ALWAYS refer to a “Controlled” copy of the document for the latest version. Version: 10 October 2016
  Page 1 of 2                                                                                                                                                                                                        REPORT_Smithy_ENVIRONMENTAL_MONITORING</t>
  </si>
  <si>
    <t>• Smithy staff are not allowed to use power tools</t>
  </si>
  <si>
    <t>• A height stick should never be used_x000D_
• If there is a need for a height value then Smithy will engage surveryors with optical methods</t>
  </si>
  <si>
    <t>Smithy Vehicles colliding with other vehicles</t>
  </si>
  <si>
    <t>•Appropriate PPE
•Testing only allowed
•Ensure safe working conditions
•No entry to HV switch rooms allowed. Refer to Smithy_SWMS007
•Any unnecessary conductive material (watches, jewellery, etc.) to be removed
•Maintain safe working distances as per utility Substation Entry electrical safety rules
•Ensure that stable footing is maintained to prevent falling on live assets
•Observer to monitor safe distances</t>
  </si>
  <si>
    <t>Hazardous Smithyce (Low oxygen levels, toxic or explosive gases)</t>
  </si>
  <si>
    <t xml:space="preserve">•Atmospheric readings taken prior to entry and recorded.
•Ensure any flammable gas or vapour is at concentrations below 5% of its Lower Explosive Limit (ELL)
•Gas monitor with entrants or in close proximity.
•Entrants to evacuate on initial alarm
•Purging or ventilation provided to ensure fresh air supply to entrants.
•Constant communication between entrant and person on standby
•No ignition sources to be introduced into Smithyce
•Emergency Rescue Equipment in place
</t>
  </si>
  <si>
    <t>•Monitor Temperature of Smithyce
•Constant communication between entrant and person on standby
•Breaks at regular intervals
•Entrant to be sufficiently hydrated
•Emergency Rescue Equipment in place</t>
  </si>
  <si>
    <t>•Ensure no equipment that has gaseous waste is introduced into Smithyce
•Air driven or battery operated equipment used
•Avoid use of electrical equipment (If possible)</t>
  </si>
  <si>
    <t>Workers left in confined Smithyce</t>
  </si>
  <si>
    <t>Impact on vegetation by Smithy vehicles</t>
  </si>
  <si>
    <t>Reports to Smithy will include a corrective action report with details on how the contractor will change their environmental management system to reduce the possibility of the same impact happening again. The corrective action report should also make sure that the appropriate authorities were alerted if needed</t>
  </si>
  <si>
    <t>Smithy- RISK RATING DEFINITIONS AND REQUIRED ACTIONS</t>
  </si>
  <si>
    <t>Smithy DEFINITIONS OF LIKELIHOOD</t>
  </si>
  <si>
    <t xml:space="preserve">Smithy - RISK SEVERITY / CONSQUENCES /  IMPACT </t>
  </si>
  <si>
    <t>SWMS003 INSPECTION IN CONFINED SmithyCES</t>
  </si>
  <si>
    <t>3 Smith Road, Aitkenvale 4814</t>
  </si>
  <si>
    <t>84 Sweet St, Manoora 4870</t>
  </si>
  <si>
    <t>Smith</t>
  </si>
  <si>
    <t>© GNU GPL V3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</si>
</sst>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0"/>
      <color theme="1"/>
      <name val="Arial"/>
      <family val="2"/>
    </font>
    <font>
      <sz val="10"/>
      <color rgb="FFFF0000"/>
      <name val="Arial"/>
      <family val="2"/>
    </font>
    <font>
      <sz val="7"/>
      <color theme="1"/>
      <name val="Arial"/>
      <family val="2"/>
    </font>
    <font>
      <sz val="9"/>
      <color theme="1"/>
      <name val="Arial"/>
      <family val="2"/>
    </font>
    <font>
      <sz val="8"/>
      <color theme="1"/>
      <name val="Arial"/>
      <family val="2"/>
    </font>
    <font>
      <sz val="6"/>
      <color theme="1"/>
      <name val="Arial"/>
      <family val="2"/>
    </font>
    <font>
      <sz val="11"/>
      <color theme="1"/>
      <name val="Arial"/>
      <family val="2"/>
    </font>
    <font>
      <sz val="12"/>
      <color theme="1"/>
      <name val="Calibri"/>
      <family val="2"/>
      <scheme val="minor"/>
    </font>
    <font>
      <sz val="11"/>
      <color rgb="FF000000"/>
      <name val="Calibri"/>
      <family val="2"/>
    </font>
    <font>
      <b/>
      <sz val="11"/>
      <color theme="1"/>
      <name val="Calibri"/>
      <family val="2"/>
      <scheme val="minor"/>
    </font>
    <font>
      <b/>
      <sz val="10"/>
      <color theme="1"/>
      <name val="Arial"/>
      <family val="2"/>
    </font>
    <font>
      <b/>
      <sz val="8"/>
      <color theme="1"/>
      <name val="Arial"/>
      <family val="2"/>
    </font>
    <font>
      <b/>
      <sz val="9"/>
      <color theme="1"/>
      <name val="Arial"/>
      <family val="2"/>
    </font>
    <font>
      <b/>
      <sz val="9"/>
      <color rgb="FF000000"/>
      <name val="Arial"/>
      <family val="2"/>
    </font>
    <font>
      <sz val="9"/>
      <color rgb="FF000000"/>
      <name val="Arial"/>
      <family val="2"/>
    </font>
    <font>
      <sz val="9"/>
      <color theme="1"/>
      <name val="Courier New"/>
      <family val="3"/>
    </font>
    <font>
      <sz val="7"/>
      <color theme="1"/>
      <name val="Times New Roman"/>
      <family val="1"/>
    </font>
    <font>
      <b/>
      <sz val="12"/>
      <color theme="1"/>
      <name val="Calibri"/>
      <family val="2"/>
      <scheme val="minor"/>
    </font>
    <font>
      <sz val="9"/>
      <color theme="1"/>
      <name val="Calibri"/>
      <family val="2"/>
      <scheme val="minor"/>
    </font>
    <font>
      <b/>
      <sz val="8"/>
      <color theme="1"/>
      <name val="Calibri"/>
      <family val="2"/>
      <scheme val="minor"/>
    </font>
  </fonts>
  <fills count="9">
    <fill>
      <patternFill patternType="none"/>
    </fill>
    <fill>
      <patternFill patternType="gray125"/>
    </fill>
    <fill>
      <patternFill patternType="solid">
        <fgColor rgb="FFFFFF00"/>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5"/>
        <bgColor indexed="64"/>
      </patternFill>
    </fill>
    <fill>
      <patternFill patternType="solid">
        <fgColor rgb="FFC2D69B"/>
        <bgColor indexed="64"/>
      </patternFill>
    </fill>
    <fill>
      <patternFill patternType="solid">
        <fgColor rgb="FFFABF8F"/>
        <bgColor indexed="64"/>
      </patternFill>
    </fill>
    <fill>
      <patternFill patternType="solid">
        <fgColor rgb="FFC0504D"/>
        <bgColor indexed="64"/>
      </patternFill>
    </fill>
  </fills>
  <borders count="77">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medium">
        <color auto="1"/>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medium">
        <color indexed="64"/>
      </left>
      <right style="medium">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medium">
        <color indexed="64"/>
      </right>
      <top/>
      <bottom style="medium">
        <color indexed="64"/>
      </bottom>
      <diagonal/>
    </border>
    <border>
      <left/>
      <right style="thick">
        <color indexed="64"/>
      </right>
      <top/>
      <bottom style="medium">
        <color indexed="64"/>
      </bottom>
      <diagonal/>
    </border>
    <border>
      <left style="medium">
        <color indexed="64"/>
      </left>
      <right style="medium">
        <color indexed="64"/>
      </right>
      <top/>
      <bottom style="thick">
        <color indexed="64"/>
      </bottom>
      <diagonal/>
    </border>
    <border>
      <left/>
      <right style="medium">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style="thin">
        <color indexed="64"/>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medium">
        <color indexed="64"/>
      </right>
      <top style="thick">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ck">
        <color indexed="64"/>
      </top>
      <bottom/>
      <diagonal/>
    </border>
    <border>
      <left/>
      <right style="thick">
        <color indexed="64"/>
      </right>
      <top style="thin">
        <color indexed="64"/>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style="thick">
        <color indexed="64"/>
      </bottom>
      <diagonal/>
    </border>
    <border>
      <left/>
      <right style="medium">
        <color indexed="64"/>
      </right>
      <top style="medium">
        <color indexed="64"/>
      </top>
      <bottom/>
      <diagonal/>
    </border>
    <border>
      <left style="thick">
        <color indexed="64"/>
      </left>
      <right style="thick">
        <color indexed="64"/>
      </right>
      <top/>
      <bottom style="medium">
        <color indexed="64"/>
      </bottom>
      <diagonal/>
    </border>
    <border>
      <left style="thick">
        <color indexed="64"/>
      </left>
      <right style="thick">
        <color indexed="64"/>
      </right>
      <top style="medium">
        <color indexed="64"/>
      </top>
      <bottom/>
      <diagonal/>
    </border>
    <border>
      <left style="thick">
        <color indexed="64"/>
      </left>
      <right style="thick">
        <color indexed="64"/>
      </right>
      <top/>
      <bottom style="thick">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top style="medium">
        <color indexed="64"/>
      </top>
      <bottom style="medium">
        <color indexed="64"/>
      </bottom>
      <diagonal/>
    </border>
    <border>
      <left style="thin">
        <color indexed="64"/>
      </left>
      <right style="thick">
        <color indexed="64"/>
      </right>
      <top style="thin">
        <color indexed="64"/>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241">
    <xf numFmtId="0" fontId="0" fillId="0" borderId="0" xfId="0"/>
    <xf numFmtId="0" fontId="1" fillId="0" borderId="0" xfId="0" applyFont="1"/>
    <xf numFmtId="0" fontId="1" fillId="0" borderId="1" xfId="0" applyFont="1" applyBorder="1" applyAlignment="1">
      <alignment vertical="center" wrapText="1"/>
    </xf>
    <xf numFmtId="0" fontId="2" fillId="0" borderId="2" xfId="0" applyFont="1" applyBorder="1" applyAlignment="1">
      <alignment vertical="center" wrapText="1"/>
    </xf>
    <xf numFmtId="0" fontId="1" fillId="0" borderId="2" xfId="0" applyFont="1" applyBorder="1" applyAlignment="1">
      <alignment vertical="center" wrapText="1"/>
    </xf>
    <xf numFmtId="0" fontId="3" fillId="0" borderId="0" xfId="0" applyFont="1" applyAlignment="1">
      <alignment vertical="center" wrapText="1"/>
    </xf>
    <xf numFmtId="0" fontId="7" fillId="0" borderId="0" xfId="0" applyFont="1" applyAlignment="1">
      <alignment wrapText="1"/>
    </xf>
    <xf numFmtId="0" fontId="7" fillId="0" borderId="0" xfId="0" applyFont="1"/>
    <xf numFmtId="0" fontId="5" fillId="0" borderId="0" xfId="0" applyFont="1" applyAlignment="1">
      <alignment horizontal="center" vertical="top" wrapText="1"/>
    </xf>
    <xf numFmtId="0" fontId="7" fillId="0" borderId="0" xfId="0" applyFont="1" applyAlignment="1">
      <alignment horizontal="center" vertical="center"/>
    </xf>
    <xf numFmtId="0" fontId="6" fillId="0" borderId="0" xfId="0" applyFont="1" applyAlignment="1">
      <alignment vertical="center" wrapText="1"/>
    </xf>
    <xf numFmtId="0" fontId="6" fillId="0" borderId="0" xfId="0" applyFont="1" applyAlignment="1">
      <alignment wrapText="1"/>
    </xf>
    <xf numFmtId="0" fontId="7" fillId="0" borderId="3" xfId="0" applyFont="1" applyBorder="1"/>
    <xf numFmtId="0" fontId="7" fillId="0" borderId="3" xfId="0" applyFont="1" applyBorder="1" applyAlignment="1">
      <alignment horizontal="center" vertical="center"/>
    </xf>
    <xf numFmtId="0" fontId="7" fillId="0" borderId="0" xfId="0" applyFont="1" applyAlignment="1">
      <alignment horizontal="center" wrapText="1"/>
    </xf>
    <xf numFmtId="0" fontId="7" fillId="0" borderId="6" xfId="0" applyFont="1" applyBorder="1" applyAlignment="1">
      <alignment horizontal="center" wrapText="1"/>
    </xf>
    <xf numFmtId="0" fontId="7" fillId="0" borderId="0" xfId="0" applyFont="1" applyAlignment="1">
      <alignment horizontal="center"/>
    </xf>
    <xf numFmtId="0" fontId="1" fillId="0" borderId="3" xfId="0" applyFont="1" applyBorder="1" applyAlignment="1">
      <alignment horizontal="center" vertical="center" wrapText="1"/>
    </xf>
    <xf numFmtId="0" fontId="1" fillId="0" borderId="3" xfId="0" applyFont="1" applyBorder="1" applyAlignment="1">
      <alignment horizontal="center" vertical="center"/>
    </xf>
    <xf numFmtId="0" fontId="5" fillId="0" borderId="3" xfId="0" applyFont="1" applyBorder="1" applyAlignment="1">
      <alignment horizontal="center" vertical="top" wrapText="1"/>
    </xf>
    <xf numFmtId="0" fontId="4" fillId="0" borderId="3" xfId="0" applyFont="1" applyBorder="1" applyAlignment="1">
      <alignment vertical="center" wrapText="1"/>
    </xf>
    <xf numFmtId="14" fontId="5" fillId="0" borderId="3" xfId="0" applyNumberFormat="1" applyFont="1" applyBorder="1" applyAlignment="1">
      <alignment horizontal="center" vertical="top" wrapText="1"/>
    </xf>
    <xf numFmtId="0" fontId="0" fillId="0" borderId="3" xfId="0" applyBorder="1" applyAlignment="1">
      <alignment horizontal="center"/>
    </xf>
    <xf numFmtId="0" fontId="7" fillId="0" borderId="3" xfId="0" applyFont="1" applyBorder="1" applyAlignment="1">
      <alignment horizontal="center" vertical="top"/>
    </xf>
    <xf numFmtId="0" fontId="3" fillId="0" borderId="0" xfId="0" applyFont="1" applyAlignment="1">
      <alignment vertical="top" wrapText="1"/>
    </xf>
    <xf numFmtId="0" fontId="4" fillId="0" borderId="3" xfId="0" applyFont="1" applyBorder="1" applyAlignment="1">
      <alignment vertical="top" wrapText="1"/>
    </xf>
    <xf numFmtId="0" fontId="7" fillId="0" borderId="0" xfId="0" applyFont="1" applyAlignment="1">
      <alignment vertical="top"/>
    </xf>
    <xf numFmtId="0" fontId="0" fillId="0" borderId="0" xfId="0" applyAlignment="1">
      <alignment wrapText="1"/>
    </xf>
    <xf numFmtId="0" fontId="0" fillId="0" borderId="0" xfId="0" applyAlignment="1">
      <alignment vertical="center" wrapText="1"/>
    </xf>
    <xf numFmtId="0" fontId="5" fillId="0" borderId="3" xfId="0" applyFont="1" applyBorder="1" applyAlignment="1">
      <alignment horizontal="center" vertical="center" wrapText="1"/>
    </xf>
    <xf numFmtId="0" fontId="0" fillId="0" borderId="0" xfId="0" applyAlignment="1">
      <alignment vertical="center"/>
    </xf>
    <xf numFmtId="0" fontId="10" fillId="0" borderId="0" xfId="0" applyFont="1"/>
    <xf numFmtId="0" fontId="0" fillId="0" borderId="0" xfId="0" applyProtection="1">
      <protection locked="0"/>
    </xf>
    <xf numFmtId="0" fontId="5" fillId="0" borderId="3" xfId="0" applyFont="1" applyBorder="1" applyAlignment="1">
      <alignment horizontal="left" vertical="top" wrapText="1"/>
    </xf>
    <xf numFmtId="0" fontId="6" fillId="0" borderId="0" xfId="0" applyFont="1" applyAlignment="1">
      <alignment horizontal="left" vertical="top" wrapText="1"/>
    </xf>
    <xf numFmtId="0" fontId="1" fillId="0" borderId="0" xfId="0" applyFont="1" applyAlignment="1">
      <alignment horizontal="center" vertical="center" wrapText="1"/>
    </xf>
    <xf numFmtId="0" fontId="4" fillId="0" borderId="21" xfId="0" applyFont="1" applyBorder="1" applyAlignment="1">
      <alignment vertical="center" wrapText="1"/>
    </xf>
    <xf numFmtId="0" fontId="15" fillId="0" borderId="21" xfId="0" applyFont="1" applyBorder="1" applyAlignment="1">
      <alignment vertical="center" wrapText="1"/>
    </xf>
    <xf numFmtId="0" fontId="1" fillId="6" borderId="20" xfId="0" applyFont="1" applyFill="1" applyBorder="1" applyAlignment="1">
      <alignment vertical="center" wrapText="1"/>
    </xf>
    <xf numFmtId="0" fontId="1" fillId="2" borderId="20" xfId="0" applyFont="1" applyFill="1" applyBorder="1" applyAlignment="1">
      <alignment vertical="center" wrapText="1"/>
    </xf>
    <xf numFmtId="0" fontId="0" fillId="0" borderId="3" xfId="0" applyBorder="1"/>
    <xf numFmtId="0" fontId="0" fillId="0" borderId="27" xfId="0" applyBorder="1"/>
    <xf numFmtId="0" fontId="0" fillId="0" borderId="7" xfId="0" applyBorder="1"/>
    <xf numFmtId="0" fontId="0" fillId="0" borderId="25" xfId="0" applyBorder="1"/>
    <xf numFmtId="0" fontId="11" fillId="0" borderId="20" xfId="0" applyFont="1" applyBorder="1" applyAlignment="1">
      <alignment horizontal="center" vertical="center" wrapText="1"/>
    </xf>
    <xf numFmtId="0" fontId="11" fillId="3" borderId="20" xfId="0" applyFont="1" applyFill="1" applyBorder="1" applyAlignment="1">
      <alignment vertical="center" wrapText="1"/>
    </xf>
    <xf numFmtId="0" fontId="11" fillId="2" borderId="20" xfId="0" applyFont="1" applyFill="1" applyBorder="1" applyAlignment="1">
      <alignment vertical="center" wrapText="1"/>
    </xf>
    <xf numFmtId="0" fontId="11" fillId="7" borderId="20" xfId="0" applyFont="1" applyFill="1" applyBorder="1" applyAlignment="1">
      <alignment vertical="center" wrapText="1"/>
    </xf>
    <xf numFmtId="0" fontId="11" fillId="8" borderId="20" xfId="0" applyFont="1" applyFill="1" applyBorder="1" applyAlignment="1">
      <alignment vertical="center" wrapText="1"/>
    </xf>
    <xf numFmtId="0" fontId="4" fillId="0" borderId="64" xfId="0" applyFont="1" applyBorder="1" applyAlignment="1">
      <alignment vertical="center" wrapText="1"/>
    </xf>
    <xf numFmtId="0" fontId="4" fillId="0" borderId="1" xfId="0" applyFont="1" applyBorder="1" applyAlignment="1">
      <alignment vertical="center" wrapText="1"/>
    </xf>
    <xf numFmtId="0" fontId="15" fillId="0" borderId="64" xfId="0" applyFont="1" applyBorder="1" applyAlignment="1">
      <alignment vertical="center" wrapText="1"/>
    </xf>
    <xf numFmtId="0" fontId="15" fillId="0" borderId="1" xfId="0" applyFont="1" applyBorder="1" applyAlignment="1">
      <alignment vertical="center" wrapText="1"/>
    </xf>
    <xf numFmtId="0" fontId="4" fillId="0" borderId="0" xfId="0" applyFont="1" applyAlignment="1">
      <alignment vertical="center" wrapText="1"/>
    </xf>
    <xf numFmtId="0" fontId="15" fillId="0" borderId="0" xfId="0" applyFont="1" applyAlignment="1">
      <alignment vertical="center"/>
    </xf>
    <xf numFmtId="0" fontId="4" fillId="0" borderId="0" xfId="0" applyFont="1" applyAlignment="1">
      <alignment vertical="center"/>
    </xf>
    <xf numFmtId="0" fontId="1" fillId="0" borderId="3" xfId="0" applyFont="1" applyBorder="1" applyAlignment="1">
      <alignment horizontal="left" vertical="top" wrapText="1"/>
    </xf>
    <xf numFmtId="0" fontId="14" fillId="0" borderId="68" xfId="0" applyFont="1" applyBorder="1" applyAlignment="1">
      <alignment horizontal="center" vertical="center" wrapText="1"/>
    </xf>
    <xf numFmtId="0" fontId="13" fillId="0" borderId="68" xfId="0" applyFont="1" applyBorder="1" applyAlignment="1">
      <alignment horizontal="center" vertical="center" wrapText="1"/>
    </xf>
    <xf numFmtId="0" fontId="5" fillId="0" borderId="27" xfId="0" applyFont="1" applyBorder="1" applyAlignment="1">
      <alignment horizontal="center" vertical="top" wrapText="1"/>
    </xf>
    <xf numFmtId="0" fontId="1" fillId="0" borderId="5" xfId="0" applyFont="1" applyBorder="1" applyAlignment="1">
      <alignment horizontal="center" vertical="center" wrapText="1"/>
    </xf>
    <xf numFmtId="0" fontId="12" fillId="0" borderId="70" xfId="0" applyFont="1" applyBorder="1" applyAlignment="1">
      <alignment horizontal="left" vertical="center" wrapText="1"/>
    </xf>
    <xf numFmtId="0" fontId="13" fillId="0" borderId="23" xfId="0" applyFont="1" applyBorder="1" applyAlignment="1">
      <alignment vertical="center" wrapText="1"/>
    </xf>
    <xf numFmtId="0" fontId="10" fillId="0" borderId="65" xfId="0" applyFont="1" applyBorder="1" applyAlignment="1">
      <alignment horizontal="center" wrapText="1"/>
    </xf>
    <xf numFmtId="0" fontId="10" fillId="0" borderId="62" xfId="0" applyFont="1" applyBorder="1" applyAlignment="1">
      <alignment horizontal="center" wrapText="1"/>
    </xf>
    <xf numFmtId="0" fontId="10" fillId="0" borderId="63" xfId="0" applyFont="1" applyBorder="1" applyAlignment="1">
      <alignment horizontal="center" wrapText="1"/>
    </xf>
    <xf numFmtId="0" fontId="10" fillId="0" borderId="73" xfId="0" applyFont="1" applyBorder="1" applyAlignment="1">
      <alignment horizontal="center" vertical="center" wrapText="1"/>
    </xf>
    <xf numFmtId="0" fontId="10" fillId="0" borderId="62" xfId="0" applyFont="1" applyBorder="1" applyAlignment="1">
      <alignment horizontal="center" vertical="center" wrapText="1"/>
    </xf>
    <xf numFmtId="0" fontId="10" fillId="0" borderId="63" xfId="0" applyFont="1" applyBorder="1" applyAlignment="1">
      <alignment horizontal="center" vertical="center" wrapText="1"/>
    </xf>
    <xf numFmtId="0" fontId="1" fillId="0" borderId="7" xfId="0" applyFont="1" applyBorder="1" applyAlignment="1">
      <alignment horizontal="center" vertical="center" wrapText="1"/>
    </xf>
    <xf numFmtId="0" fontId="5" fillId="0" borderId="0" xfId="0" applyFont="1" applyAlignment="1">
      <alignment horizontal="center" vertical="center" wrapText="1"/>
    </xf>
    <xf numFmtId="0" fontId="1" fillId="0" borderId="8" xfId="0" applyFont="1" applyBorder="1" applyAlignment="1">
      <alignment vertical="center" wrapText="1"/>
    </xf>
    <xf numFmtId="0" fontId="1" fillId="0" borderId="76" xfId="0" applyFont="1" applyBorder="1" applyAlignment="1">
      <alignment vertical="center" wrapText="1"/>
    </xf>
    <xf numFmtId="0" fontId="1" fillId="0" borderId="7" xfId="0" applyFont="1" applyBorder="1" applyAlignment="1">
      <alignment vertical="center" wrapText="1"/>
    </xf>
    <xf numFmtId="0" fontId="7" fillId="0" borderId="5" xfId="0" applyFont="1" applyBorder="1"/>
    <xf numFmtId="0" fontId="5" fillId="0" borderId="8" xfId="0" applyFont="1" applyBorder="1" applyAlignment="1">
      <alignment horizontal="left" vertical="top" wrapText="1"/>
    </xf>
    <xf numFmtId="0" fontId="5" fillId="0" borderId="8" xfId="0" applyFont="1" applyBorder="1" applyAlignment="1">
      <alignment horizontal="center" vertical="center" wrapText="1"/>
    </xf>
    <xf numFmtId="0" fontId="5" fillId="0" borderId="8" xfId="0" applyFont="1" applyBorder="1" applyAlignment="1">
      <alignment horizontal="center" vertical="top" wrapText="1"/>
    </xf>
    <xf numFmtId="0" fontId="7" fillId="0" borderId="8" xfId="0" applyFont="1" applyBorder="1" applyAlignment="1">
      <alignment horizontal="center" vertical="center"/>
    </xf>
    <xf numFmtId="0" fontId="5" fillId="0" borderId="74" xfId="0" applyFont="1" applyBorder="1" applyAlignment="1">
      <alignment horizontal="center" vertical="top" wrapText="1"/>
    </xf>
    <xf numFmtId="0" fontId="7" fillId="0" borderId="8" xfId="0" applyFont="1" applyBorder="1"/>
    <xf numFmtId="0" fontId="1" fillId="0" borderId="0" xfId="0" applyFont="1" applyAlignment="1">
      <alignment horizontal="left" vertical="top" wrapText="1"/>
    </xf>
    <xf numFmtId="0" fontId="5" fillId="0" borderId="0" xfId="0" applyFont="1" applyAlignment="1">
      <alignment horizontal="left" vertical="top" wrapText="1"/>
    </xf>
    <xf numFmtId="0" fontId="0" fillId="0" borderId="0" xfId="0" applyAlignment="1">
      <alignment horizontal="left"/>
    </xf>
    <xf numFmtId="0" fontId="6" fillId="0" borderId="0" xfId="0" applyFont="1" applyAlignment="1">
      <alignment horizontal="left" vertical="top"/>
    </xf>
    <xf numFmtId="0" fontId="5" fillId="0" borderId="0" xfId="0" applyFont="1" applyAlignment="1">
      <alignment horizontal="center" vertical="center"/>
    </xf>
    <xf numFmtId="0" fontId="5" fillId="0" borderId="0" xfId="0" applyFont="1" applyAlignment="1">
      <alignment horizontal="center" vertical="top"/>
    </xf>
    <xf numFmtId="0" fontId="6" fillId="0" borderId="0" xfId="0" applyFont="1"/>
    <xf numFmtId="0" fontId="6" fillId="0" borderId="0" xfId="0" applyFont="1" applyAlignment="1">
      <alignment vertical="center"/>
    </xf>
    <xf numFmtId="0" fontId="3" fillId="0" borderId="0" xfId="0" applyFont="1" applyAlignment="1">
      <alignment vertical="center"/>
    </xf>
    <xf numFmtId="14" fontId="5" fillId="0" borderId="0" xfId="0" applyNumberFormat="1" applyFont="1" applyAlignment="1">
      <alignment horizontal="center" vertical="top"/>
    </xf>
    <xf numFmtId="0" fontId="3" fillId="0" borderId="0" xfId="0" applyFont="1" applyAlignment="1">
      <alignment vertical="top"/>
    </xf>
    <xf numFmtId="0" fontId="7" fillId="0" borderId="0" xfId="0" applyFont="1" applyAlignment="1">
      <alignment horizontal="center" vertical="top"/>
    </xf>
    <xf numFmtId="0" fontId="4" fillId="0" borderId="0" xfId="0" applyFont="1" applyAlignment="1">
      <alignment vertical="top"/>
    </xf>
    <xf numFmtId="0" fontId="1" fillId="0" borderId="0" xfId="0" applyFont="1" applyAlignment="1">
      <alignment horizontal="center" vertical="center"/>
    </xf>
    <xf numFmtId="0" fontId="0" fillId="0" borderId="0" xfId="0" applyAlignment="1">
      <alignment horizontal="center" vertical="center"/>
    </xf>
    <xf numFmtId="0" fontId="3" fillId="0" borderId="0" xfId="0" applyFont="1" applyAlignment="1">
      <alignment horizontal="center" vertical="center" wrapText="1"/>
    </xf>
    <xf numFmtId="0" fontId="0" fillId="0" borderId="3" xfId="0" applyBorder="1" applyAlignment="1">
      <alignment horizontal="left" wrapText="1"/>
    </xf>
    <xf numFmtId="14" fontId="0" fillId="0" borderId="3" xfId="0" applyNumberFormat="1" applyBorder="1" applyAlignment="1">
      <alignment horizontal="right" wrapText="1"/>
    </xf>
    <xf numFmtId="0" fontId="0" fillId="0" borderId="3" xfId="0" applyBorder="1" applyAlignment="1">
      <alignment horizontal="right" wrapText="1"/>
    </xf>
    <xf numFmtId="0" fontId="7" fillId="0" borderId="3" xfId="0" applyFont="1" applyBorder="1" applyAlignment="1">
      <alignment horizontal="center"/>
    </xf>
    <xf numFmtId="0" fontId="7" fillId="0" borderId="4" xfId="0" applyFont="1" applyBorder="1" applyAlignment="1">
      <alignment horizontal="center"/>
    </xf>
    <xf numFmtId="0" fontId="7" fillId="0" borderId="11" xfId="0" applyFont="1" applyBorder="1" applyAlignment="1">
      <alignment horizontal="center"/>
    </xf>
    <xf numFmtId="0" fontId="7" fillId="0" borderId="5" xfId="0" applyFont="1" applyBorder="1" applyAlignment="1">
      <alignment horizontal="center"/>
    </xf>
    <xf numFmtId="0" fontId="1" fillId="0" borderId="8" xfId="0" applyFont="1" applyBorder="1" applyAlignment="1">
      <alignment horizontal="center" vertical="center" wrapText="1"/>
    </xf>
    <xf numFmtId="0" fontId="1" fillId="0" borderId="7" xfId="0" applyFont="1" applyBorder="1" applyAlignment="1">
      <alignment horizontal="center" vertical="center" wrapText="1"/>
    </xf>
    <xf numFmtId="0" fontId="1" fillId="0" borderId="74" xfId="0" applyFont="1" applyBorder="1" applyAlignment="1">
      <alignment horizontal="center" vertical="center" wrapText="1"/>
    </xf>
    <xf numFmtId="0" fontId="1" fillId="0" borderId="25" xfId="0" applyFont="1" applyBorder="1" applyAlignment="1">
      <alignment horizontal="center" vertical="center" wrapText="1"/>
    </xf>
    <xf numFmtId="0" fontId="1" fillId="0" borderId="3" xfId="0" applyFont="1" applyBorder="1" applyAlignment="1">
      <alignment horizontal="center"/>
    </xf>
    <xf numFmtId="0" fontId="1" fillId="0" borderId="46" xfId="0" applyFont="1" applyBorder="1" applyAlignment="1">
      <alignment horizontal="center"/>
    </xf>
    <xf numFmtId="0" fontId="1" fillId="0" borderId="14" xfId="0" applyFont="1" applyBorder="1" applyAlignment="1">
      <alignment horizontal="center"/>
    </xf>
    <xf numFmtId="0" fontId="0" fillId="0" borderId="31" xfId="0" applyBorder="1" applyAlignment="1">
      <alignment horizontal="center" vertical="center" wrapText="1"/>
    </xf>
    <xf numFmtId="0" fontId="0" fillId="0" borderId="2" xfId="0" applyBorder="1" applyAlignment="1">
      <alignment horizontal="center" vertical="center" wrapText="1"/>
    </xf>
    <xf numFmtId="0" fontId="19" fillId="0" borderId="31" xfId="0" applyFont="1" applyBorder="1" applyAlignment="1">
      <alignment horizontal="center" vertical="center" wrapText="1"/>
    </xf>
    <xf numFmtId="0" fontId="19" fillId="0" borderId="2" xfId="0" applyFont="1" applyBorder="1" applyAlignment="1">
      <alignment horizontal="center" vertical="center" wrapText="1"/>
    </xf>
    <xf numFmtId="0" fontId="18" fillId="0" borderId="37" xfId="0" applyFont="1" applyBorder="1" applyAlignment="1">
      <alignment horizontal="center" vertical="center" wrapText="1"/>
    </xf>
    <xf numFmtId="0" fontId="18" fillId="0" borderId="38" xfId="0" applyFont="1" applyBorder="1" applyAlignment="1">
      <alignment horizontal="center" vertical="center" wrapText="1"/>
    </xf>
    <xf numFmtId="0" fontId="18" fillId="0" borderId="40" xfId="0" applyFont="1" applyBorder="1" applyAlignment="1">
      <alignment horizontal="center" vertical="center" wrapText="1"/>
    </xf>
    <xf numFmtId="0" fontId="18" fillId="0" borderId="0" xfId="0" applyFont="1" applyAlignment="1">
      <alignment horizontal="center" vertical="center" wrapText="1"/>
    </xf>
    <xf numFmtId="0" fontId="18" fillId="0" borderId="43" xfId="0" applyFont="1" applyBorder="1" applyAlignment="1">
      <alignment horizontal="center" vertical="center" wrapText="1"/>
    </xf>
    <xf numFmtId="0" fontId="18" fillId="0" borderId="44" xfId="0" applyFont="1" applyBorder="1" applyAlignment="1">
      <alignment horizontal="center" vertical="center" wrapText="1"/>
    </xf>
    <xf numFmtId="0" fontId="1" fillId="0" borderId="28" xfId="0" applyFont="1" applyBorder="1" applyAlignment="1">
      <alignment horizontal="center" vertical="center" wrapText="1"/>
    </xf>
    <xf numFmtId="0" fontId="1" fillId="0" borderId="29" xfId="0" applyFont="1" applyBorder="1" applyAlignment="1">
      <alignment horizontal="center" vertical="center" wrapText="1"/>
    </xf>
    <xf numFmtId="0" fontId="1" fillId="0" borderId="30" xfId="0" applyFont="1" applyBorder="1" applyAlignment="1">
      <alignment horizontal="center" vertical="center" wrapText="1"/>
    </xf>
    <xf numFmtId="0" fontId="1" fillId="0" borderId="26" xfId="0" applyFont="1" applyBorder="1" applyAlignment="1">
      <alignment horizontal="center" vertical="center" wrapText="1"/>
    </xf>
    <xf numFmtId="0" fontId="1" fillId="0" borderId="3" xfId="0" applyFont="1" applyBorder="1" applyAlignment="1">
      <alignment horizontal="center" vertical="center" wrapText="1"/>
    </xf>
    <xf numFmtId="0" fontId="1" fillId="0" borderId="27" xfId="0" applyFont="1" applyBorder="1" applyAlignment="1">
      <alignment horizontal="center" vertical="center" wrapText="1"/>
    </xf>
    <xf numFmtId="0" fontId="11" fillId="0" borderId="59" xfId="0" applyFont="1" applyBorder="1" applyAlignment="1">
      <alignment horizontal="center" vertical="center" wrapText="1"/>
    </xf>
    <xf numFmtId="0" fontId="11" fillId="0" borderId="60" xfId="0" applyFont="1" applyBorder="1" applyAlignment="1">
      <alignment horizontal="center" vertical="center" wrapText="1"/>
    </xf>
    <xf numFmtId="0" fontId="11" fillId="0" borderId="61" xfId="0" applyFont="1" applyBorder="1" applyAlignment="1">
      <alignment horizontal="center" vertical="center" wrapText="1"/>
    </xf>
    <xf numFmtId="0" fontId="4" fillId="0" borderId="31" xfId="0" applyFont="1" applyBorder="1" applyAlignment="1">
      <alignment vertical="center" wrapText="1"/>
    </xf>
    <xf numFmtId="0" fontId="4" fillId="0" borderId="35" xfId="0" applyFont="1" applyBorder="1" applyAlignment="1">
      <alignment vertical="center" wrapText="1"/>
    </xf>
    <xf numFmtId="0" fontId="10" fillId="0" borderId="75" xfId="0" applyFont="1" applyBorder="1" applyAlignment="1">
      <alignment horizontal="center" vertical="center"/>
    </xf>
    <xf numFmtId="0" fontId="10" fillId="0" borderId="62" xfId="0" applyFont="1" applyBorder="1" applyAlignment="1">
      <alignment horizontal="center" vertical="center"/>
    </xf>
    <xf numFmtId="0" fontId="10" fillId="0" borderId="63" xfId="0" applyFont="1" applyBorder="1" applyAlignment="1">
      <alignment horizontal="center" vertical="center"/>
    </xf>
    <xf numFmtId="0" fontId="20" fillId="0" borderId="70" xfId="0" applyFont="1" applyBorder="1" applyAlignment="1">
      <alignment horizontal="center" vertical="center" wrapText="1"/>
    </xf>
    <xf numFmtId="0" fontId="4" fillId="0" borderId="28" xfId="0" applyFont="1" applyBorder="1" applyAlignment="1">
      <alignment horizontal="center" vertical="center" wrapText="1"/>
    </xf>
    <xf numFmtId="0" fontId="4" fillId="0" borderId="29" xfId="0" applyFont="1" applyBorder="1" applyAlignment="1">
      <alignment horizontal="center" vertical="center" wrapText="1"/>
    </xf>
    <xf numFmtId="0" fontId="4" fillId="0" borderId="48" xfId="0" applyFont="1" applyBorder="1" applyAlignment="1">
      <alignment horizontal="center"/>
    </xf>
    <xf numFmtId="0" fontId="4" fillId="0" borderId="58" xfId="0" applyFont="1" applyBorder="1" applyAlignment="1">
      <alignment horizontal="center"/>
    </xf>
    <xf numFmtId="0" fontId="4" fillId="0" borderId="3" xfId="0" applyFont="1" applyBorder="1" applyAlignment="1">
      <alignment horizontal="center"/>
    </xf>
    <xf numFmtId="0" fontId="4" fillId="0" borderId="27" xfId="0" applyFont="1" applyBorder="1" applyAlignment="1">
      <alignment horizontal="center"/>
    </xf>
    <xf numFmtId="0" fontId="4" fillId="0" borderId="29" xfId="0" applyFont="1" applyBorder="1" applyAlignment="1">
      <alignment horizontal="center"/>
    </xf>
    <xf numFmtId="0" fontId="4" fillId="0" borderId="30" xfId="0" applyFont="1" applyBorder="1" applyAlignment="1">
      <alignment horizontal="center"/>
    </xf>
    <xf numFmtId="0" fontId="12" fillId="0" borderId="70" xfId="0" applyFont="1" applyBorder="1" applyAlignment="1">
      <alignment horizontal="center" vertical="center" wrapText="1"/>
    </xf>
    <xf numFmtId="0" fontId="4" fillId="0" borderId="65" xfId="0" applyFont="1" applyBorder="1" applyAlignment="1">
      <alignment vertical="center" wrapText="1"/>
    </xf>
    <xf numFmtId="0" fontId="4" fillId="0" borderId="20" xfId="0" applyFont="1" applyBorder="1" applyAlignment="1">
      <alignment vertical="center" wrapText="1"/>
    </xf>
    <xf numFmtId="0" fontId="16" fillId="0" borderId="31" xfId="0" applyFont="1" applyBorder="1" applyAlignment="1">
      <alignment horizontal="center" vertical="center" wrapText="1"/>
    </xf>
    <xf numFmtId="0" fontId="16" fillId="0" borderId="2" xfId="0" applyFont="1" applyBorder="1" applyAlignment="1">
      <alignment horizontal="center" vertical="center" wrapText="1"/>
    </xf>
    <xf numFmtId="0" fontId="4" fillId="0" borderId="57" xfId="0" applyFont="1" applyBorder="1" applyAlignment="1">
      <alignment horizontal="center" vertical="center" wrapText="1"/>
    </xf>
    <xf numFmtId="0" fontId="4" fillId="0" borderId="48" xfId="0" applyFont="1" applyBorder="1" applyAlignment="1">
      <alignment horizontal="center" vertical="center" wrapText="1"/>
    </xf>
    <xf numFmtId="0" fontId="4" fillId="0" borderId="26" xfId="0" applyFont="1" applyBorder="1" applyAlignment="1">
      <alignment horizontal="center" vertical="center" wrapText="1"/>
    </xf>
    <xf numFmtId="0" fontId="4" fillId="0" borderId="3" xfId="0" applyFont="1" applyBorder="1" applyAlignment="1">
      <alignment horizontal="center" vertical="center" wrapText="1"/>
    </xf>
    <xf numFmtId="0" fontId="4" fillId="0" borderId="66" xfId="0" applyFont="1" applyBorder="1" applyAlignment="1">
      <alignment vertical="center" wrapText="1"/>
    </xf>
    <xf numFmtId="0" fontId="13" fillId="0" borderId="69" xfId="0" applyFont="1" applyBorder="1" applyAlignment="1">
      <alignment horizontal="center" vertical="center" wrapText="1"/>
    </xf>
    <xf numFmtId="0" fontId="13" fillId="0" borderId="70" xfId="0" applyFont="1" applyBorder="1" applyAlignment="1">
      <alignment horizontal="center" vertical="center" wrapText="1"/>
    </xf>
    <xf numFmtId="0" fontId="4" fillId="0" borderId="67" xfId="0" applyFont="1" applyBorder="1" applyAlignment="1">
      <alignment vertical="center" wrapText="1"/>
    </xf>
    <xf numFmtId="0" fontId="4" fillId="0" borderId="36" xfId="0" applyFont="1" applyBorder="1" applyAlignment="1">
      <alignment vertical="center" wrapText="1"/>
    </xf>
    <xf numFmtId="0" fontId="4" fillId="0" borderId="2" xfId="0" applyFont="1" applyBorder="1" applyAlignment="1">
      <alignment vertical="center" wrapText="1"/>
    </xf>
    <xf numFmtId="0" fontId="13" fillId="0" borderId="68" xfId="0" applyFont="1" applyBorder="1" applyAlignment="1">
      <alignment horizontal="center" vertical="center" wrapText="1"/>
    </xf>
    <xf numFmtId="0" fontId="4" fillId="0" borderId="21" xfId="0" applyFont="1" applyBorder="1" applyAlignment="1">
      <alignment vertical="center" wrapText="1"/>
    </xf>
    <xf numFmtId="0" fontId="12" fillId="0" borderId="31" xfId="0" applyFont="1" applyBorder="1" applyAlignment="1">
      <alignment horizontal="center" vertical="center" wrapText="1"/>
    </xf>
    <xf numFmtId="0" fontId="12" fillId="0" borderId="2" xfId="0" applyFont="1" applyBorder="1" applyAlignment="1">
      <alignment horizontal="center" vertical="center" wrapText="1"/>
    </xf>
    <xf numFmtId="0" fontId="12" fillId="0" borderId="65" xfId="0" applyFont="1" applyBorder="1" applyAlignment="1">
      <alignment horizontal="center" vertical="center" wrapText="1"/>
    </xf>
    <xf numFmtId="0" fontId="12" fillId="0" borderId="20" xfId="0" applyFont="1" applyBorder="1" applyAlignment="1">
      <alignment horizontal="center" vertical="center" wrapText="1"/>
    </xf>
    <xf numFmtId="0" fontId="12" fillId="0" borderId="32" xfId="0" applyFont="1" applyBorder="1" applyAlignment="1">
      <alignment horizontal="center" vertical="top" wrapText="1"/>
    </xf>
    <xf numFmtId="0" fontId="12" fillId="0" borderId="33" xfId="0" applyFont="1" applyBorder="1" applyAlignment="1">
      <alignment horizontal="center" vertical="top" wrapText="1"/>
    </xf>
    <xf numFmtId="0" fontId="0" fillId="3" borderId="3" xfId="0" applyFill="1" applyBorder="1" applyAlignment="1">
      <alignment horizontal="center" vertical="center" wrapText="1"/>
    </xf>
    <xf numFmtId="0" fontId="0" fillId="2" borderId="3" xfId="0" applyFill="1" applyBorder="1" applyAlignment="1">
      <alignment horizontal="center" vertical="center" wrapText="1"/>
    </xf>
    <xf numFmtId="0" fontId="0" fillId="4" borderId="3" xfId="0" applyFill="1" applyBorder="1" applyAlignment="1">
      <alignment horizontal="center" vertical="center" wrapText="1"/>
    </xf>
    <xf numFmtId="0" fontId="0" fillId="4" borderId="16" xfId="0" applyFill="1" applyBorder="1" applyAlignment="1">
      <alignment horizontal="center" vertical="center" wrapText="1"/>
    </xf>
    <xf numFmtId="0" fontId="1" fillId="0" borderId="24" xfId="0" applyFont="1" applyBorder="1" applyAlignment="1">
      <alignment horizontal="center" vertical="center" wrapText="1"/>
    </xf>
    <xf numFmtId="0" fontId="10" fillId="0" borderId="52" xfId="0" applyFont="1" applyBorder="1" applyAlignment="1">
      <alignment horizontal="center" vertical="center" wrapText="1"/>
    </xf>
    <xf numFmtId="0" fontId="10" fillId="0" borderId="39"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41" xfId="0" applyFont="1" applyBorder="1" applyAlignment="1">
      <alignment horizontal="center" vertical="center" wrapText="1"/>
    </xf>
    <xf numFmtId="0" fontId="10" fillId="0" borderId="17" xfId="0" applyFont="1" applyBorder="1" applyAlignment="1">
      <alignment horizontal="center" vertical="center" wrapText="1"/>
    </xf>
    <xf numFmtId="0" fontId="10" fillId="0" borderId="42"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53" xfId="0" applyFont="1" applyBorder="1" applyAlignment="1">
      <alignment horizontal="center" vertical="center" wrapText="1"/>
    </xf>
    <xf numFmtId="0" fontId="10" fillId="0" borderId="20" xfId="0" applyFont="1" applyBorder="1" applyAlignment="1">
      <alignment horizontal="center" vertical="center" wrapText="1"/>
    </xf>
    <xf numFmtId="0" fontId="10" fillId="0" borderId="34" xfId="0" applyFont="1" applyBorder="1" applyAlignment="1">
      <alignment horizontal="center" vertical="center" wrapText="1"/>
    </xf>
    <xf numFmtId="0" fontId="0" fillId="2" borderId="5" xfId="0" applyFill="1" applyBorder="1" applyAlignment="1">
      <alignment horizontal="center" vertical="center" wrapText="1"/>
    </xf>
    <xf numFmtId="0" fontId="0" fillId="2" borderId="22" xfId="0" applyFill="1" applyBorder="1" applyAlignment="1">
      <alignment horizontal="center" vertical="center" wrapText="1"/>
    </xf>
    <xf numFmtId="0" fontId="0" fillId="2" borderId="50" xfId="0" applyFill="1" applyBorder="1" applyAlignment="1">
      <alignment horizontal="center" vertical="center" wrapText="1"/>
    </xf>
    <xf numFmtId="0" fontId="0" fillId="4" borderId="50" xfId="0" applyFill="1" applyBorder="1" applyAlignment="1">
      <alignment horizontal="center" vertical="center" wrapText="1"/>
    </xf>
    <xf numFmtId="0" fontId="0" fillId="3" borderId="47" xfId="0" applyFill="1" applyBorder="1" applyAlignment="1">
      <alignment horizontal="center" vertical="center" wrapText="1"/>
    </xf>
    <xf numFmtId="0" fontId="0" fillId="3" borderId="48" xfId="0" applyFill="1" applyBorder="1" applyAlignment="1">
      <alignment horizontal="center" vertical="center" wrapText="1"/>
    </xf>
    <xf numFmtId="0" fontId="0" fillId="3" borderId="5" xfId="0" applyFill="1" applyBorder="1" applyAlignment="1">
      <alignment horizontal="center" vertical="center" wrapText="1"/>
    </xf>
    <xf numFmtId="0" fontId="18" fillId="0" borderId="54" xfId="0" applyFont="1" applyBorder="1" applyAlignment="1">
      <alignment horizontal="center" vertical="center"/>
    </xf>
    <xf numFmtId="0" fontId="18" fillId="0" borderId="55" xfId="0" applyFont="1" applyBorder="1" applyAlignment="1">
      <alignment horizontal="center" vertical="center"/>
    </xf>
    <xf numFmtId="0" fontId="18" fillId="0" borderId="56" xfId="0" applyFont="1" applyBorder="1" applyAlignment="1">
      <alignment horizontal="center" vertical="center"/>
    </xf>
    <xf numFmtId="0" fontId="12" fillId="0" borderId="71" xfId="0" applyFont="1" applyBorder="1" applyAlignment="1">
      <alignment horizontal="center" vertical="center" wrapText="1"/>
    </xf>
    <xf numFmtId="0" fontId="12" fillId="0" borderId="72" xfId="0" applyFont="1" applyBorder="1" applyAlignment="1">
      <alignment horizontal="center" vertical="center" wrapText="1"/>
    </xf>
    <xf numFmtId="0" fontId="16" fillId="0" borderId="35" xfId="0" applyFont="1" applyBorder="1" applyAlignment="1">
      <alignment horizontal="center" vertical="center" wrapText="1"/>
    </xf>
    <xf numFmtId="0" fontId="0" fillId="5" borderId="3" xfId="0" applyFill="1" applyBorder="1" applyAlignment="1">
      <alignment horizontal="center" vertical="center" wrapText="1"/>
    </xf>
    <xf numFmtId="0" fontId="0" fillId="5" borderId="16" xfId="0" applyFill="1" applyBorder="1" applyAlignment="1">
      <alignment horizontal="center" vertical="center" wrapText="1"/>
    </xf>
    <xf numFmtId="0" fontId="18" fillId="0" borderId="37" xfId="0" applyFont="1" applyBorder="1" applyAlignment="1">
      <alignment horizontal="center" vertical="center"/>
    </xf>
    <xf numFmtId="0" fontId="18" fillId="0" borderId="38" xfId="0" applyFont="1" applyBorder="1" applyAlignment="1">
      <alignment horizontal="center" vertical="center"/>
    </xf>
    <xf numFmtId="0" fontId="18" fillId="0" borderId="39" xfId="0" applyFont="1" applyBorder="1" applyAlignment="1">
      <alignment horizontal="center" vertical="center"/>
    </xf>
    <xf numFmtId="0" fontId="18" fillId="0" borderId="46" xfId="0" applyFont="1" applyBorder="1" applyAlignment="1">
      <alignment horizontal="center" vertical="center"/>
    </xf>
    <xf numFmtId="0" fontId="18" fillId="0" borderId="14" xfId="0" applyFont="1" applyBorder="1" applyAlignment="1">
      <alignment horizontal="center" vertical="center"/>
    </xf>
    <xf numFmtId="0" fontId="18" fillId="0" borderId="41" xfId="0" applyFont="1" applyBorder="1" applyAlignment="1">
      <alignment horizontal="center" vertical="center"/>
    </xf>
    <xf numFmtId="0" fontId="18" fillId="0" borderId="57" xfId="0" applyFont="1" applyBorder="1" applyAlignment="1">
      <alignment horizontal="center" vertical="center"/>
    </xf>
    <xf numFmtId="0" fontId="8" fillId="0" borderId="48" xfId="0" applyFont="1" applyBorder="1" applyAlignment="1">
      <alignment horizontal="center" vertical="center"/>
    </xf>
    <xf numFmtId="0" fontId="8" fillId="0" borderId="58" xfId="0" applyFont="1" applyBorder="1" applyAlignment="1">
      <alignment horizontal="center" vertical="center"/>
    </xf>
    <xf numFmtId="0" fontId="8" fillId="0" borderId="28" xfId="0" applyFont="1" applyBorder="1" applyAlignment="1">
      <alignment horizontal="center" vertical="center"/>
    </xf>
    <xf numFmtId="0" fontId="8" fillId="0" borderId="29" xfId="0" applyFont="1" applyBorder="1" applyAlignment="1">
      <alignment horizontal="center" vertical="center"/>
    </xf>
    <xf numFmtId="0" fontId="8" fillId="0" borderId="30" xfId="0" applyFont="1" applyBorder="1" applyAlignment="1">
      <alignment horizontal="center" vertical="center"/>
    </xf>
    <xf numFmtId="0" fontId="0" fillId="5" borderId="50" xfId="0" applyFill="1" applyBorder="1" applyAlignment="1">
      <alignment horizontal="center" vertical="center" wrapText="1"/>
    </xf>
    <xf numFmtId="0" fontId="0" fillId="5" borderId="51" xfId="0" applyFill="1" applyBorder="1" applyAlignment="1">
      <alignment horizontal="center" vertical="center" wrapText="1"/>
    </xf>
    <xf numFmtId="0" fontId="10" fillId="0" borderId="40" xfId="0" applyFont="1" applyBorder="1" applyAlignment="1">
      <alignment horizontal="center" vertical="center"/>
    </xf>
    <xf numFmtId="0" fontId="10" fillId="0" borderId="0" xfId="0" applyFont="1" applyAlignment="1">
      <alignment horizontal="center" vertical="center"/>
    </xf>
    <xf numFmtId="0" fontId="10" fillId="0" borderId="43" xfId="0" applyFont="1" applyBorder="1" applyAlignment="1">
      <alignment horizontal="center" vertical="center"/>
    </xf>
    <xf numFmtId="0" fontId="10" fillId="0" borderId="44" xfId="0" applyFont="1" applyBorder="1" applyAlignment="1">
      <alignment horizontal="center" vertical="center"/>
    </xf>
    <xf numFmtId="0" fontId="0" fillId="2" borderId="48" xfId="0" applyFill="1" applyBorder="1" applyAlignment="1">
      <alignment horizontal="center" vertical="center" wrapText="1"/>
    </xf>
    <xf numFmtId="0" fontId="0" fillId="2" borderId="49" xfId="0" applyFill="1" applyBorder="1" applyAlignment="1">
      <alignment horizontal="center" vertical="center" wrapText="1"/>
    </xf>
    <xf numFmtId="0" fontId="0" fillId="2" borderId="16" xfId="0" applyFill="1" applyBorder="1" applyAlignment="1">
      <alignment horizontal="center" vertical="center" wrapText="1"/>
    </xf>
    <xf numFmtId="0" fontId="10" fillId="0" borderId="42" xfId="0" applyFont="1" applyBorder="1" applyAlignment="1">
      <alignment horizontal="center" vertical="center"/>
    </xf>
    <xf numFmtId="0" fontId="10" fillId="0" borderId="45" xfId="0" applyFont="1" applyBorder="1" applyAlignment="1">
      <alignment horizontal="center" vertical="center"/>
    </xf>
    <xf numFmtId="0" fontId="8" fillId="0" borderId="8" xfId="0" applyFont="1" applyBorder="1" applyAlignment="1">
      <alignment horizontal="center"/>
    </xf>
    <xf numFmtId="0" fontId="8" fillId="0" borderId="8" xfId="0" applyFont="1" applyBorder="1"/>
    <xf numFmtId="0" fontId="0" fillId="0" borderId="4" xfId="0" applyBorder="1" applyAlignment="1">
      <alignment horizontal="center"/>
    </xf>
    <xf numFmtId="0" fontId="0" fillId="0" borderId="11" xfId="0" applyBorder="1" applyAlignment="1">
      <alignment horizontal="center"/>
    </xf>
    <xf numFmtId="0" fontId="0" fillId="0" borderId="5" xfId="0" applyBorder="1" applyAlignment="1">
      <alignment horizontal="center"/>
    </xf>
    <xf numFmtId="0" fontId="0" fillId="0" borderId="4" xfId="0" applyBorder="1"/>
    <xf numFmtId="0" fontId="0" fillId="0" borderId="11" xfId="0" applyBorder="1"/>
    <xf numFmtId="0" fontId="0" fillId="0" borderId="5" xfId="0" applyBorder="1"/>
    <xf numFmtId="0" fontId="8" fillId="0" borderId="7" xfId="0" applyFont="1" applyBorder="1" applyAlignment="1">
      <alignment horizontal="center"/>
    </xf>
    <xf numFmtId="0" fontId="0" fillId="0" borderId="7" xfId="0" applyBorder="1" applyAlignment="1">
      <alignment horizontal="center"/>
    </xf>
    <xf numFmtId="0" fontId="0" fillId="0" borderId="3" xfId="0" applyBorder="1" applyAlignment="1">
      <alignment horizontal="center"/>
    </xf>
    <xf numFmtId="0" fontId="0" fillId="0" borderId="3" xfId="0" applyBorder="1" applyAlignment="1">
      <alignment horizontal="center" vertical="center"/>
    </xf>
    <xf numFmtId="0" fontId="0" fillId="0" borderId="3" xfId="0" applyBorder="1" applyAlignment="1">
      <alignment horizontal="center" vertical="center" wrapText="1"/>
    </xf>
    <xf numFmtId="0" fontId="0" fillId="0" borderId="12" xfId="0" applyBorder="1" applyAlignment="1">
      <alignment horizontal="center" vertical="center"/>
    </xf>
    <xf numFmtId="0" fontId="0" fillId="0" borderId="9" xfId="0" applyBorder="1" applyAlignment="1">
      <alignment horizontal="center" vertical="center"/>
    </xf>
    <xf numFmtId="0" fontId="0" fillId="0" borderId="6" xfId="0" applyBorder="1" applyAlignment="1">
      <alignment horizontal="center" vertical="center"/>
    </xf>
    <xf numFmtId="0" fontId="0" fillId="0" borderId="10"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3" xfId="0" applyBorder="1" applyAlignment="1">
      <alignment horizontal="center" vertical="center"/>
    </xf>
    <xf numFmtId="0" fontId="0" fillId="0" borderId="0" xfId="0" applyAlignment="1">
      <alignment horizontal="center" vertical="center"/>
    </xf>
  </cellXfs>
  <cellStyles count="1">
    <cellStyle name="Normal" xfId="0" builtinId="0"/>
  </cellStyles>
  <dxfs count="1934">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color theme="0"/>
      </font>
      <fill>
        <patternFill>
          <bgColor theme="2" tint="-0.49998474074526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color theme="0"/>
      </font>
      <fill>
        <patternFill>
          <bgColor theme="2" tint="-0.499984740745262"/>
        </patternFill>
      </fill>
    </dxf>
    <dxf>
      <font>
        <b/>
        <i/>
        <color theme="0"/>
      </font>
      <fill>
        <patternFill>
          <bgColor theme="7" tint="-0.24994659260841701"/>
        </patternFill>
      </fill>
    </dxf>
    <dxf>
      <font>
        <b/>
        <i/>
        <color theme="0"/>
      </font>
      <fill>
        <patternFill>
          <bgColor theme="5" tint="-0.24994659260841701"/>
        </patternFill>
      </fill>
    </dxf>
    <dxf>
      <font>
        <b/>
        <i val="0"/>
        <color theme="6" tint="-0.24994659260841701"/>
      </font>
      <fill>
        <patternFill>
          <bgColor rgb="FFCCFFCC"/>
        </patternFill>
      </fill>
    </dxf>
    <dxf>
      <font>
        <b/>
        <i val="0"/>
        <color theme="2" tint="-0.499984740745262"/>
      </font>
      <fill>
        <patternFill>
          <bgColor rgb="FFFFFF00"/>
        </patternFill>
      </fill>
    </dxf>
    <dxf>
      <font>
        <b/>
        <i val="0"/>
        <color theme="9" tint="-0.24994659260841701"/>
      </font>
      <fill>
        <patternFill>
          <bgColor theme="9" tint="0.79998168889431442"/>
        </patternFill>
      </fill>
    </dxf>
    <dxf>
      <font>
        <b/>
        <i val="0"/>
        <color theme="5" tint="-0.24994659260841701"/>
      </font>
      <fill>
        <patternFill>
          <bgColor theme="5" tint="0.79998168889431442"/>
        </patternFill>
      </fill>
    </dxf>
    <dxf>
      <font>
        <b/>
        <i val="0"/>
        <color theme="6" tint="-0.24994659260841701"/>
      </font>
      <fill>
        <patternFill>
          <bgColor rgb="FFCCFFCC"/>
        </patternFill>
      </fill>
    </dxf>
    <dxf>
      <font>
        <b/>
        <i val="0"/>
        <color theme="2" tint="-0.499984740745262"/>
      </font>
      <fill>
        <patternFill>
          <bgColor rgb="FFFFFF66"/>
        </patternFill>
      </fill>
    </dxf>
    <dxf>
      <font>
        <b/>
        <i val="0"/>
        <color theme="9" tint="-0.24994659260841701"/>
      </font>
      <fill>
        <patternFill>
          <bgColor theme="9" tint="0.59996337778862885"/>
        </patternFill>
      </fill>
    </dxf>
    <dxf>
      <font>
        <b/>
        <i val="0"/>
        <color theme="5" tint="-0.24994659260841701"/>
      </font>
      <fill>
        <patternFill>
          <bgColor theme="5" tint="0.59996337778862885"/>
        </patternFill>
      </fill>
    </dxf>
  </dxfs>
  <tableStyles count="0" defaultTableStyle="TableStyleMedium2" defaultPivotStyle="PivotStyleLight16"/>
  <colors>
    <mruColors>
      <color rgb="FFFFFF99"/>
      <color rgb="FFCCFFCC"/>
      <color rgb="FF99FF99"/>
      <color rgb="FF94FE99"/>
      <color rgb="FFDFF006"/>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3</xdr:row>
          <xdr:rowOff>19050</xdr:rowOff>
        </xdr:from>
        <xdr:to>
          <xdr:col>4</xdr:col>
          <xdr:colOff>38100</xdr:colOff>
          <xdr:row>6</xdr:row>
          <xdr:rowOff>152400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Risk Analysis</a:t>
              </a:r>
            </a:p>
            <a:p>
              <a:pPr algn="ctr" rtl="0">
                <a:defRPr sz="1000"/>
              </a:pPr>
              <a:r>
                <a:rPr lang="en-US" sz="1100" b="0" i="0" u="none" strike="noStrike" baseline="0">
                  <a:solidFill>
                    <a:srgbClr val="000000"/>
                  </a:solidFill>
                  <a:latin typeface="Calibri"/>
                  <a:cs typeface="Calibri"/>
                </a:rPr>
                <a:t>Form</a:t>
              </a:r>
            </a:p>
          </xdr:txBody>
        </xdr:sp>
        <xdr:clientData fPrintsWithSheet="0"/>
      </xdr:twoCellAnchor>
    </mc:Choice>
    <mc:Fallback/>
  </mc:AlternateContent>
  <xdr:twoCellAnchor>
    <xdr:from>
      <xdr:col>4</xdr:col>
      <xdr:colOff>257175</xdr:colOff>
      <xdr:row>1</xdr:row>
      <xdr:rowOff>180975</xdr:rowOff>
    </xdr:from>
    <xdr:to>
      <xdr:col>9</xdr:col>
      <xdr:colOff>428625</xdr:colOff>
      <xdr:row>11</xdr:row>
      <xdr:rowOff>142875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695575" y="371475"/>
          <a:ext cx="3219450" cy="1676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To make a new risk analysis use the button.</a:t>
          </a:r>
        </a:p>
        <a:p>
          <a:r>
            <a:rPr lang="en-AU" sz="1100"/>
            <a:t>If</a:t>
          </a:r>
          <a:r>
            <a:rPr lang="en-AU" sz="1100" baseline="0"/>
            <a:t> you make a mistake then it can be changed or entered manually using the tabs down the bottom to  select the the register.</a:t>
          </a:r>
          <a:endParaRPr lang="en-AU" sz="1100"/>
        </a:p>
      </xdr:txBody>
    </xdr:sp>
    <xdr:clientData/>
  </xdr:twoCellAnchor>
  <mc:AlternateContent xmlns:mc="http://schemas.openxmlformats.org/markup-compatibility/2006">
    <mc:Choice xmlns:a14="http://schemas.microsoft.com/office/drawing/2010/main" Requires="a14">
      <xdr:twoCellAnchor>
        <xdr:from>
          <xdr:col>1</xdr:col>
          <xdr:colOff>0</xdr:colOff>
          <xdr:row>7</xdr:row>
          <xdr:rowOff>152400</xdr:rowOff>
        </xdr:from>
        <xdr:to>
          <xdr:col>4</xdr:col>
          <xdr:colOff>9525</xdr:colOff>
          <xdr:row>11</xdr:row>
          <xdr:rowOff>28575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a new SWMS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352425</xdr:colOff>
          <xdr:row>0</xdr:row>
          <xdr:rowOff>114300</xdr:rowOff>
        </xdr:from>
        <xdr:to>
          <xdr:col>11</xdr:col>
          <xdr:colOff>361950</xdr:colOff>
          <xdr:row>1</xdr:row>
          <xdr:rowOff>104775</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500-00000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781050</xdr:colOff>
          <xdr:row>0</xdr:row>
          <xdr:rowOff>114300</xdr:rowOff>
        </xdr:from>
        <xdr:to>
          <xdr:col>13</xdr:col>
          <xdr:colOff>809625</xdr:colOff>
          <xdr:row>1</xdr:row>
          <xdr:rowOff>104775</xdr:rowOff>
        </xdr:to>
        <xdr:sp macro="" textlink="">
          <xdr:nvSpPr>
            <xdr:cNvPr id="9229" name="Button 13" hidden="1">
              <a:extLst>
                <a:ext uri="{63B3BB69-23CF-44E3-9099-C40C66FF867C}">
                  <a14:compatExt spid="_x0000_s9229"/>
                </a:ext>
                <a:ext uri="{FF2B5EF4-FFF2-40B4-BE49-F238E27FC236}">
                  <a16:creationId xmlns:a16="http://schemas.microsoft.com/office/drawing/2014/main" id="{00000000-0008-0000-0500-00000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A3</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3:N47"/>
  <sheetViews>
    <sheetView tabSelected="1" workbookViewId="0">
      <selection activeCell="P15" sqref="P15"/>
    </sheetView>
  </sheetViews>
  <sheetFormatPr defaultRowHeight="15" x14ac:dyDescent="0.25"/>
  <sheetData>
    <row r="3" spans="1:12" x14ac:dyDescent="0.25">
      <c r="A3" s="70"/>
      <c r="B3" s="70"/>
      <c r="C3" s="70"/>
      <c r="D3" s="8"/>
      <c r="E3" s="8"/>
      <c r="F3" s="9"/>
      <c r="G3" s="8"/>
      <c r="H3" s="24"/>
      <c r="I3" s="8"/>
      <c r="J3" s="8"/>
      <c r="K3" s="9"/>
      <c r="L3" s="8"/>
    </row>
    <row r="32" spans="2:9" x14ac:dyDescent="0.25">
      <c r="B32" s="97" t="s">
        <v>290</v>
      </c>
      <c r="C32" s="97"/>
      <c r="D32" s="97"/>
      <c r="E32" s="97"/>
      <c r="F32" s="98">
        <v>43067</v>
      </c>
      <c r="G32" s="98"/>
      <c r="I32" t="s">
        <v>321</v>
      </c>
    </row>
    <row r="33" spans="1:14" x14ac:dyDescent="0.25">
      <c r="B33" s="97" t="s">
        <v>291</v>
      </c>
      <c r="C33" s="97"/>
      <c r="D33" s="97"/>
      <c r="E33" s="97"/>
      <c r="F33" s="99" t="s">
        <v>292</v>
      </c>
      <c r="G33" s="99"/>
    </row>
    <row r="34" spans="1:14" x14ac:dyDescent="0.25">
      <c r="B34" s="97" t="s">
        <v>293</v>
      </c>
      <c r="C34" s="97"/>
      <c r="D34" s="97"/>
      <c r="E34" s="97"/>
      <c r="F34" s="99" t="s">
        <v>298</v>
      </c>
      <c r="G34" s="99"/>
    </row>
    <row r="46" spans="1:14" x14ac:dyDescent="0.25">
      <c r="A46" s="96" t="s">
        <v>302</v>
      </c>
      <c r="B46" s="96"/>
      <c r="C46" s="96"/>
      <c r="D46" s="96"/>
      <c r="E46" s="96"/>
      <c r="F46" s="96"/>
      <c r="G46" s="96"/>
      <c r="H46" s="96"/>
      <c r="I46" s="96"/>
      <c r="J46" s="96"/>
      <c r="K46" s="96"/>
      <c r="L46" s="96"/>
      <c r="M46" s="96"/>
      <c r="N46" s="96"/>
    </row>
    <row r="47" spans="1:14" ht="42" customHeight="1" x14ac:dyDescent="0.25">
      <c r="A47" s="96"/>
      <c r="B47" s="96"/>
      <c r="C47" s="96"/>
      <c r="D47" s="96"/>
      <c r="E47" s="96"/>
      <c r="F47" s="96"/>
      <c r="G47" s="96"/>
      <c r="H47" s="96"/>
      <c r="I47" s="96"/>
      <c r="J47" s="96"/>
      <c r="K47" s="96"/>
      <c r="L47" s="96"/>
      <c r="M47" s="96"/>
      <c r="N47" s="96"/>
    </row>
  </sheetData>
  <dataConsolidate/>
  <mergeCells count="7">
    <mergeCell ref="A46:N47"/>
    <mergeCell ref="B32:E32"/>
    <mergeCell ref="F32:G32"/>
    <mergeCell ref="B33:E33"/>
    <mergeCell ref="F33:G33"/>
    <mergeCell ref="B34:E34"/>
    <mergeCell ref="F34:G34"/>
  </mergeCells>
  <conditionalFormatting sqref="F3">
    <cfRule type="cellIs" dxfId="1933" priority="8" operator="between">
      <formula>16</formula>
      <formula>25</formula>
    </cfRule>
    <cfRule type="cellIs" dxfId="1932" priority="9" operator="between">
      <formula>10</formula>
      <formula>15</formula>
    </cfRule>
    <cfRule type="cellIs" dxfId="1931" priority="10" operator="between">
      <formula>5</formula>
      <formula>9</formula>
    </cfRule>
    <cfRule type="cellIs" dxfId="1930" priority="11" operator="between">
      <formula>0</formula>
      <formula>4</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add_risk_ana">
                <anchor moveWithCells="1" sizeWithCells="1">
                  <from>
                    <xdr:col>0</xdr:col>
                    <xdr:colOff>600075</xdr:colOff>
                    <xdr:row>3</xdr:row>
                    <xdr:rowOff>19050</xdr:rowOff>
                  </from>
                  <to>
                    <xdr:col>4</xdr:col>
                    <xdr:colOff>38100</xdr:colOff>
                    <xdr:row>6</xdr:row>
                    <xdr:rowOff>152400</xdr:rowOff>
                  </to>
                </anchor>
              </controlPr>
            </control>
          </mc:Choice>
        </mc:AlternateContent>
        <mc:AlternateContent xmlns:mc="http://schemas.openxmlformats.org/markup-compatibility/2006">
          <mc:Choice Requires="x14">
            <control shapeId="7171" r:id="rId5" name="Button 3">
              <controlPr defaultSize="0" print="0" autoFill="0" autoPict="0" macro="[0]!new_SWMS">
                <anchor moveWithCells="1" sizeWithCells="1">
                  <from>
                    <xdr:col>1</xdr:col>
                    <xdr:colOff>0</xdr:colOff>
                    <xdr:row>7</xdr:row>
                    <xdr:rowOff>152400</xdr:rowOff>
                  </from>
                  <to>
                    <xdr:col>4</xdr:col>
                    <xdr:colOff>9525</xdr:colOff>
                    <xdr:row>11</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prompt="Select the Likelihood of the Risk Occuring_x000a_" xr:uid="{00000000-0002-0000-0000-000000000000}">
          <x14:formula1>
            <xm:f>'Risk Information '!$A$9:$A$13</xm:f>
          </x14:formula1>
          <xm:sqref>E3</xm:sqref>
        </x14:dataValidation>
        <x14:dataValidation type="list" allowBlank="1" showInputMessage="1" showErrorMessage="1" xr:uid="{00000000-0002-0000-0000-000001000000}">
          <x14:formula1>
            <xm:f>'Risk Information '!$A$2:$A$7</xm:f>
          </x14:formula1>
          <xm:sqref>I3</xm:sqref>
        </x14:dataValidation>
        <x14:dataValidation type="list" allowBlank="1" showInputMessage="1" showErrorMessage="1" prompt="Select the Severity of the Risk" xr:uid="{00000000-0002-0000-0000-000002000000}">
          <x14:formula1>
            <xm:f>'Risk Information '!$A$2:$A$7</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U1480"/>
  <sheetViews>
    <sheetView zoomScaleNormal="100" workbookViewId="0">
      <selection activeCell="G11" sqref="G11"/>
    </sheetView>
  </sheetViews>
  <sheetFormatPr defaultRowHeight="14.25" x14ac:dyDescent="0.2"/>
  <cols>
    <col min="1" max="2" width="15.7109375" style="6" customWidth="1"/>
    <col min="3" max="3" width="10.7109375" style="6" customWidth="1"/>
    <col min="4" max="4" width="15.42578125" style="6" customWidth="1"/>
    <col min="5" max="5" width="24.7109375" style="6" customWidth="1"/>
    <col min="6" max="6" width="6.140625" style="7" customWidth="1"/>
    <col min="7" max="7" width="15.28515625" style="6" customWidth="1"/>
    <col min="8" max="8" width="26" style="7" customWidth="1"/>
    <col min="9" max="9" width="11.140625" style="7" customWidth="1"/>
    <col min="10" max="10" width="13.5703125" style="7" customWidth="1"/>
    <col min="11" max="11" width="14.42578125" style="7" customWidth="1"/>
    <col min="12" max="12" width="12.140625" style="7" customWidth="1"/>
    <col min="13" max="13" width="9.140625" style="7"/>
    <col min="14" max="14" width="12.5703125" style="7" customWidth="1"/>
    <col min="15" max="15" width="9.140625" style="7" hidden="1" customWidth="1"/>
    <col min="16" max="16" width="15.7109375" style="7" customWidth="1"/>
    <col min="17" max="17" width="9.140625" style="7"/>
    <col min="18" max="18" width="21.28515625" style="7" customWidth="1"/>
    <col min="19" max="19" width="11.42578125" style="7" customWidth="1"/>
    <col min="20" max="16384" width="9.140625" style="7"/>
  </cols>
  <sheetData>
    <row r="1" spans="1:21" ht="14.25" customHeight="1" x14ac:dyDescent="0.2">
      <c r="A1" s="12" t="s">
        <v>0</v>
      </c>
      <c r="B1" s="101"/>
      <c r="C1" s="102"/>
      <c r="D1" s="103"/>
      <c r="G1" s="12" t="s">
        <v>3</v>
      </c>
      <c r="H1" s="100"/>
      <c r="I1" s="100"/>
    </row>
    <row r="2" spans="1:21" x14ac:dyDescent="0.2">
      <c r="A2" s="12" t="s">
        <v>1</v>
      </c>
      <c r="B2" s="101"/>
      <c r="C2" s="102"/>
      <c r="D2" s="103"/>
      <c r="G2" s="12" t="s">
        <v>4</v>
      </c>
      <c r="H2" s="100"/>
      <c r="I2" s="100"/>
    </row>
    <row r="3" spans="1:21" x14ac:dyDescent="0.2">
      <c r="A3" s="12" t="s">
        <v>2</v>
      </c>
      <c r="B3" s="101"/>
      <c r="C3" s="102"/>
      <c r="D3" s="103"/>
      <c r="G3" s="12" t="s">
        <v>4</v>
      </c>
      <c r="H3" s="100"/>
      <c r="I3" s="100"/>
    </row>
    <row r="4" spans="1:21" x14ac:dyDescent="0.2">
      <c r="A4" s="7"/>
      <c r="B4" s="7"/>
      <c r="C4" s="14"/>
      <c r="D4" s="15"/>
      <c r="G4" s="7"/>
      <c r="H4" s="16"/>
      <c r="I4" s="16"/>
    </row>
    <row r="5" spans="1:21" ht="15" customHeight="1" x14ac:dyDescent="0.2">
      <c r="A5" s="104" t="s">
        <v>10</v>
      </c>
      <c r="B5" s="104" t="s">
        <v>117</v>
      </c>
      <c r="C5" s="104" t="s">
        <v>11</v>
      </c>
      <c r="D5" s="108" t="s">
        <v>114</v>
      </c>
      <c r="E5" s="108"/>
      <c r="F5" s="108"/>
      <c r="G5" s="106" t="s">
        <v>23</v>
      </c>
      <c r="H5" s="109" t="s">
        <v>116</v>
      </c>
      <c r="I5" s="110"/>
      <c r="J5" s="110"/>
      <c r="K5" s="110"/>
      <c r="L5" s="110"/>
      <c r="M5" s="104" t="s">
        <v>24</v>
      </c>
      <c r="N5" s="104" t="s">
        <v>96</v>
      </c>
      <c r="O5" s="104" t="s">
        <v>49</v>
      </c>
      <c r="P5" s="104" t="s">
        <v>48</v>
      </c>
    </row>
    <row r="6" spans="1:21" ht="33.75" customHeight="1" x14ac:dyDescent="0.2">
      <c r="A6" s="105"/>
      <c r="B6" s="105"/>
      <c r="C6" s="105"/>
      <c r="D6" s="17" t="s">
        <v>12</v>
      </c>
      <c r="E6" s="17" t="s">
        <v>115</v>
      </c>
      <c r="F6" s="18" t="s">
        <v>271</v>
      </c>
      <c r="G6" s="107"/>
      <c r="H6" s="60" t="s">
        <v>26</v>
      </c>
      <c r="I6" s="17" t="s">
        <v>12</v>
      </c>
      <c r="J6" s="17" t="s">
        <v>115</v>
      </c>
      <c r="K6" s="17" t="s">
        <v>251</v>
      </c>
      <c r="L6" s="17" t="s">
        <v>23</v>
      </c>
      <c r="M6" s="105"/>
      <c r="N6" s="105"/>
      <c r="O6" s="105"/>
      <c r="P6" s="105"/>
      <c r="R6" s="71" t="s">
        <v>24</v>
      </c>
      <c r="S6" s="71" t="s">
        <v>96</v>
      </c>
      <c r="T6" s="71" t="s">
        <v>49</v>
      </c>
      <c r="U6" s="71" t="s">
        <v>48</v>
      </c>
    </row>
    <row r="7" spans="1:21" ht="33.75" customHeight="1" x14ac:dyDescent="0.2">
      <c r="A7" s="69" t="s">
        <v>288</v>
      </c>
      <c r="B7" s="29" t="s">
        <v>119</v>
      </c>
      <c r="C7" s="29" t="str">
        <f>IF(B7="Quality",'Risk Information '!$B$34,IF(B7="Environment",'Risk Information '!$B$35,IF(B7="WHS",'Risk Information '!$B$36,)))</f>
        <v>ISO 9001:2015</v>
      </c>
      <c r="D7" s="19" t="s">
        <v>248</v>
      </c>
      <c r="E7" s="19" t="s">
        <v>242</v>
      </c>
      <c r="F7" s="13">
        <f t="shared" ref="F7" si="0">IF(OR(ISBLANK(D7), ISBLANK(E7)),"",LEFT(D7,1)*LEFT(E7,1))</f>
        <v>8</v>
      </c>
      <c r="G7" s="59" t="str">
        <f>IF(F7&gt;15,'Risk Matrix'!$C$30,IF('Risk Register'!F7&gt;9,'Risk Matrix'!$C$29,IF('Risk Register'!F7&gt;4,'Risk Matrix'!$C$28,IF(OR(F7=0, F7=""), "N/A",'Risk Matrix'!$C$27))))</f>
        <v>Management responsibility must be specified.  Policy and procedures must be documented.  Works cannot proceed without management oversight.  Records should be audited annually.</v>
      </c>
      <c r="H7" s="24" t="s">
        <v>289</v>
      </c>
      <c r="I7" s="8" t="s">
        <v>249</v>
      </c>
      <c r="J7" s="8" t="s">
        <v>242</v>
      </c>
      <c r="K7" s="9">
        <f t="shared" ref="K7" si="1">IF(OR(ISBLANK(I7), ISBLANK(J7)),"",LEFT(I7,1)*LEFT(J7,1))</f>
        <v>4</v>
      </c>
      <c r="L7" s="59" t="str">
        <f>IF(K7&gt;15,'Risk Matrix'!$C$30,IF('Risk Register'!K7&gt;9,'Risk Matrix'!$C$29,IF('Risk Register'!K7&gt;4,'Risk Matrix'!$C$28,IF(OR(K7=0, K7=""), "N/A",'Risk Matrix'!$C$27))))</f>
        <v>Managed by routine procedures.  Records should be audited annually.  Work may proceed without specific management oversight.</v>
      </c>
      <c r="M7" s="23" t="str">
        <f t="shared" ref="M7" si="2">IF(F7="","",IF(F7&gt;3,"Yes","No"))</f>
        <v>Yes</v>
      </c>
      <c r="N7" s="25"/>
      <c r="O7" s="21"/>
      <c r="P7" s="19"/>
      <c r="R7" s="72"/>
      <c r="S7" s="72"/>
      <c r="T7" s="72"/>
      <c r="U7" s="72"/>
    </row>
    <row r="8" spans="1:21" ht="33.75" customHeight="1" x14ac:dyDescent="0.2">
      <c r="A8" s="69" t="s">
        <v>286</v>
      </c>
      <c r="B8" s="29" t="s">
        <v>156</v>
      </c>
      <c r="C8" s="29" t="str">
        <f>IF(B8="Quality",'Risk Information '!$B$34,IF(B8="Environment",'Risk Information '!$B$35,IF(B8="WHS",'Risk Information '!$B$36,)))</f>
        <v>Work Health and Safety Act (QLD) 2013</v>
      </c>
      <c r="D8" s="19" t="s">
        <v>247</v>
      </c>
      <c r="E8" s="19" t="s">
        <v>15</v>
      </c>
      <c r="F8" s="13">
        <f t="shared" ref="F8:F16" si="3">IF(OR(ISBLANK(D8), ISBLANK(E8)),"",LEFT(D8,1)*LEFT(E8,1))</f>
        <v>20</v>
      </c>
      <c r="G8" s="59" t="str">
        <f>IF(F8&gt;15,'Risk Matrix'!$C$30,IF('Risk Register'!F8&gt;9,'Risk Matrix'!$C$29,IF('Risk Register'!F8&gt;4,'Risk Matrix'!$C$28,IF(OR(F8=0, F8=""), "N/A",'Risk Matrix'!$C$27))))</f>
        <v xml:space="preserve">Management must give this area high priority. Immediate action is required to bring the risk under control.  No extreme risk rating works may be carried out under any circumstances. Control/preventive measures must be documented, monitored, measured and reviewed periodically for adequacy and compliance.  Responsibility for monitoring and verification activities must be clearly defined and documented. Frequency of verification and validation activities (to check that controls are being applied and are effective) must be defined and documented.  Corrective action (to be taken when unacceptable variations occur) must be documented.  Records must be maintained to demonstrate that the above requirements are being undertaken, and audited at least monthly. </v>
      </c>
      <c r="H8" s="24" t="s">
        <v>287</v>
      </c>
      <c r="I8" s="8" t="s">
        <v>249</v>
      </c>
      <c r="J8" s="8" t="s">
        <v>15</v>
      </c>
      <c r="K8" s="9">
        <f t="shared" ref="K8:K16" si="4">IF(OR(ISBLANK(I8), ISBLANK(J8)),"",LEFT(I8,1)*LEFT(J8,1))</f>
        <v>8</v>
      </c>
      <c r="L8" s="59" t="str">
        <f>IF(K8&gt;15,'Risk Matrix'!$C$30,IF('Risk Register'!K8&gt;9,'Risk Matrix'!$C$29,IF('Risk Register'!K8&gt;4,'Risk Matrix'!$C$28,IF(OR(K8=0, K8=""), "N/A",'Risk Matrix'!$C$27))))</f>
        <v>Management responsibility must be specified.  Policy and procedures must be documented.  Works cannot proceed without management oversight.  Records should be audited annually.</v>
      </c>
      <c r="M8" s="23" t="str">
        <f t="shared" ref="M8:M16" si="5">IF(F8="","",IF(F8&gt;3,"Yes","No"))</f>
        <v>Yes</v>
      </c>
      <c r="N8" s="25"/>
      <c r="O8" s="21"/>
      <c r="P8" s="19"/>
      <c r="R8" s="72"/>
      <c r="S8" s="72"/>
      <c r="T8" s="72"/>
      <c r="U8" s="72"/>
    </row>
    <row r="9" spans="1:21" ht="33.75" customHeight="1" x14ac:dyDescent="0.2">
      <c r="A9" s="69" t="s">
        <v>285</v>
      </c>
      <c r="B9" s="29" t="s">
        <v>156</v>
      </c>
      <c r="C9" s="29" t="str">
        <f>IF(B9="Quality",'Risk Information '!$B$34,IF(B9="Environment",'Risk Information '!$B$35,IF(B9="WHS",'Risk Information '!$B$36,)))</f>
        <v>Work Health and Safety Act (QLD) 2013</v>
      </c>
      <c r="D9" s="19" t="s">
        <v>249</v>
      </c>
      <c r="E9" s="19" t="s">
        <v>15</v>
      </c>
      <c r="F9" s="13">
        <f t="shared" si="3"/>
        <v>8</v>
      </c>
      <c r="G9" s="59" t="str">
        <f>IF(F9&gt;15,'Risk Matrix'!$C$30,IF('Risk Register'!F9&gt;9,'Risk Matrix'!$C$29,IF('Risk Register'!F9&gt;4,'Risk Matrix'!$C$28,IF(OR(F9=0, F9=""), "N/A",'Risk Matrix'!$C$27))))</f>
        <v>Management responsibility must be specified.  Policy and procedures must be documented.  Works cannot proceed without management oversight.  Records should be audited annually.</v>
      </c>
      <c r="H9" s="24" t="s">
        <v>303</v>
      </c>
      <c r="I9" s="8" t="s">
        <v>250</v>
      </c>
      <c r="J9" s="8" t="s">
        <v>15</v>
      </c>
      <c r="K9" s="9">
        <f t="shared" si="4"/>
        <v>4</v>
      </c>
      <c r="L9" s="59" t="str">
        <f>IF(K9&gt;15,'Risk Matrix'!$C$30,IF('Risk Register'!K9&gt;9,'Risk Matrix'!$C$29,IF('Risk Register'!K9&gt;4,'Risk Matrix'!$C$28,IF(OR(K9=0, K9=""), "N/A",'Risk Matrix'!$C$27))))</f>
        <v>Managed by routine procedures.  Records should be audited annually.  Work may proceed without specific management oversight.</v>
      </c>
      <c r="M9" s="23" t="str">
        <f t="shared" si="5"/>
        <v>Yes</v>
      </c>
      <c r="N9" s="25"/>
      <c r="O9" s="21"/>
      <c r="P9" s="19"/>
      <c r="R9" s="72"/>
      <c r="S9" s="72"/>
      <c r="T9" s="72"/>
      <c r="U9" s="72"/>
    </row>
    <row r="10" spans="1:21" ht="33.75" customHeight="1" x14ac:dyDescent="0.2">
      <c r="A10" s="69" t="s">
        <v>283</v>
      </c>
      <c r="B10" s="29" t="s">
        <v>156</v>
      </c>
      <c r="C10" s="29" t="str">
        <f>IF(B10="Quality",'Risk Information '!$B$34,IF(B10="Environment",'Risk Information '!$B$35,IF(B10="WHS",'Risk Information '!$B$36,)))</f>
        <v>Work Health and Safety Act (QLD) 2013</v>
      </c>
      <c r="D10" s="19" t="s">
        <v>247</v>
      </c>
      <c r="E10" s="19" t="s">
        <v>17</v>
      </c>
      <c r="F10" s="13">
        <f t="shared" si="3"/>
        <v>10</v>
      </c>
      <c r="G10" s="59" t="str">
        <f>IF(F10&gt;15,'Risk Matrix'!$C$30,IF('Risk Register'!F10&gt;9,'Risk Matrix'!$C$29,IF('Risk Register'!F10&gt;4,'Risk Matrix'!$C$28,IF(OR(F10=0, F10=""), "N/A",'Risk Matrix'!$C$27))))</f>
        <v xml:space="preserve">Management attention is needed. Control/preventive measures must be documented, monitored, measured and reviewed periodically for adequacy and compliance. Director must be directly involved and approve in writing for works to proceed.  Responsibility for monitoring and verification activities must be clearly defined and documented.  Corrective action (to be taken when unacceptable variations occur) must be documented.  Records must be maintained to demonstrate that the above requirements are being undertaken, and audited at least monthly. </v>
      </c>
      <c r="H10" s="24" t="s">
        <v>284</v>
      </c>
      <c r="I10" s="8" t="s">
        <v>246</v>
      </c>
      <c r="J10" s="8" t="s">
        <v>17</v>
      </c>
      <c r="K10" s="9">
        <f t="shared" si="4"/>
        <v>6</v>
      </c>
      <c r="L10" s="59" t="str">
        <f>IF(K10&gt;15,'Risk Matrix'!$C$30,IF('Risk Register'!K10&gt;9,'Risk Matrix'!$C$29,IF('Risk Register'!K10&gt;4,'Risk Matrix'!$C$28,IF(OR(K10=0, K10=""), "N/A",'Risk Matrix'!$C$27))))</f>
        <v>Management responsibility must be specified.  Policy and procedures must be documented.  Works cannot proceed without management oversight.  Records should be audited annually.</v>
      </c>
      <c r="M10" s="23" t="str">
        <f t="shared" si="5"/>
        <v>Yes</v>
      </c>
      <c r="N10" s="25"/>
      <c r="O10" s="21"/>
      <c r="P10" s="19"/>
      <c r="R10" s="72"/>
      <c r="S10" s="72"/>
      <c r="T10" s="72"/>
      <c r="U10" s="72"/>
    </row>
    <row r="11" spans="1:21" ht="33.75" customHeight="1" x14ac:dyDescent="0.2">
      <c r="A11" s="69" t="s">
        <v>281</v>
      </c>
      <c r="B11" s="29" t="s">
        <v>156</v>
      </c>
      <c r="C11" s="29" t="str">
        <f>IF(B11="Quality",'Risk Information '!$B$34,IF(B11="Environment",'Risk Information '!$B$35,IF(B11="WHS",'Risk Information '!$B$36,)))</f>
        <v>Work Health and Safety Act (QLD) 2013</v>
      </c>
      <c r="D11" s="19" t="s">
        <v>248</v>
      </c>
      <c r="E11" s="19" t="s">
        <v>15</v>
      </c>
      <c r="F11" s="13">
        <f t="shared" si="3"/>
        <v>16</v>
      </c>
      <c r="G11" s="59" t="str">
        <f>IF(F11&gt;15,'Risk Matrix'!$C$30,IF('Risk Register'!F11&gt;9,'Risk Matrix'!$C$29,IF('Risk Register'!F11&gt;4,'Risk Matrix'!$C$28,IF(OR(F11=0, F11=""), "N/A",'Risk Matrix'!$C$27))))</f>
        <v xml:space="preserve">Management must give this area high priority. Immediate action is required to bring the risk under control.  No extreme risk rating works may be carried out under any circumstances. Control/preventive measures must be documented, monitored, measured and reviewed periodically for adequacy and compliance.  Responsibility for monitoring and verification activities must be clearly defined and documented. Frequency of verification and validation activities (to check that controls are being applied and are effective) must be defined and documented.  Corrective action (to be taken when unacceptable variations occur) must be documented.  Records must be maintained to demonstrate that the above requirements are being undertaken, and audited at least monthly. </v>
      </c>
      <c r="H11" s="24" t="s">
        <v>304</v>
      </c>
      <c r="I11" s="8" t="s">
        <v>250</v>
      </c>
      <c r="J11" s="8" t="s">
        <v>15</v>
      </c>
      <c r="K11" s="9">
        <f t="shared" si="4"/>
        <v>4</v>
      </c>
      <c r="L11" s="59" t="str">
        <f>IF(K11&gt;15,'Risk Matrix'!$C$30,IF('Risk Register'!K11&gt;9,'Risk Matrix'!$C$29,IF('Risk Register'!K11&gt;4,'Risk Matrix'!$C$28,IF(OR(K11=0, K11=""), "N/A",'Risk Matrix'!$C$27))))</f>
        <v>Managed by routine procedures.  Records should be audited annually.  Work may proceed without specific management oversight.</v>
      </c>
      <c r="M11" s="23" t="str">
        <f t="shared" si="5"/>
        <v>Yes</v>
      </c>
      <c r="N11" s="25"/>
      <c r="O11" s="21"/>
      <c r="P11" s="19"/>
      <c r="R11" s="72"/>
      <c r="S11" s="72"/>
      <c r="T11" s="72"/>
      <c r="U11" s="72"/>
    </row>
    <row r="12" spans="1:21" ht="33.75" customHeight="1" x14ac:dyDescent="0.2">
      <c r="A12" s="69" t="s">
        <v>279</v>
      </c>
      <c r="B12" s="29" t="s">
        <v>156</v>
      </c>
      <c r="C12" s="29" t="str">
        <f>IF(B12="Quality",'Risk Information '!$B$34,IF(B12="Environment",'Risk Information '!$B$35,IF(B12="WHS",'Risk Information '!$B$36,)))</f>
        <v>Work Health and Safety Act (QLD) 2013</v>
      </c>
      <c r="D12" s="19" t="s">
        <v>248</v>
      </c>
      <c r="E12" s="19" t="s">
        <v>15</v>
      </c>
      <c r="F12" s="13">
        <f t="shared" si="3"/>
        <v>16</v>
      </c>
      <c r="G12" s="59" t="str">
        <f>IF(F12&gt;15,'Risk Matrix'!$C$30,IF('Risk Register'!F12&gt;9,'Risk Matrix'!$C$29,IF('Risk Register'!F12&gt;4,'Risk Matrix'!$C$28,IF(OR(F12=0, F12=""), "N/A",'Risk Matrix'!$C$27))))</f>
        <v xml:space="preserve">Management must give this area high priority. Immediate action is required to bring the risk under control.  No extreme risk rating works may be carried out under any circumstances. Control/preventive measures must be documented, monitored, measured and reviewed periodically for adequacy and compliance.  Responsibility for monitoring and verification activities must be clearly defined and documented. Frequency of verification and validation activities (to check that controls are being applied and are effective) must be defined and documented.  Corrective action (to be taken when unacceptable variations occur) must be documented.  Records must be maintained to demonstrate that the above requirements are being undertaken, and audited at least monthly. </v>
      </c>
      <c r="H12" s="24" t="s">
        <v>280</v>
      </c>
      <c r="I12" s="8" t="s">
        <v>249</v>
      </c>
      <c r="J12" s="8" t="s">
        <v>16</v>
      </c>
      <c r="K12" s="9">
        <f t="shared" si="4"/>
        <v>6</v>
      </c>
      <c r="L12" s="59" t="str">
        <f>IF(K12&gt;15,'Risk Matrix'!$C$30,IF('Risk Register'!K12&gt;9,'Risk Matrix'!$C$29,IF('Risk Register'!K12&gt;4,'Risk Matrix'!$C$28,IF(OR(K12=0, K12=""), "N/A",'Risk Matrix'!$C$27))))</f>
        <v>Management responsibility must be specified.  Policy and procedures must be documented.  Works cannot proceed without management oversight.  Records should be audited annually.</v>
      </c>
      <c r="M12" s="23" t="str">
        <f t="shared" si="5"/>
        <v>Yes</v>
      </c>
      <c r="N12" s="25"/>
      <c r="O12" s="21"/>
      <c r="P12" s="19"/>
      <c r="R12" s="72"/>
      <c r="S12" s="72"/>
      <c r="T12" s="72"/>
      <c r="U12" s="72"/>
    </row>
    <row r="13" spans="1:21" ht="33.75" customHeight="1" x14ac:dyDescent="0.2">
      <c r="A13" s="69" t="s">
        <v>277</v>
      </c>
      <c r="B13" s="29" t="s">
        <v>156</v>
      </c>
      <c r="C13" s="29" t="str">
        <f>IF(B13="Quality",'Risk Information '!$B$34,IF(B13="Environment",'Risk Information '!$B$35,IF(B13="WHS",'Risk Information '!$B$36,)))</f>
        <v>Work Health and Safety Act (QLD) 2013</v>
      </c>
      <c r="D13" s="19" t="s">
        <v>247</v>
      </c>
      <c r="E13" s="19" t="s">
        <v>16</v>
      </c>
      <c r="F13" s="13">
        <f t="shared" si="3"/>
        <v>15</v>
      </c>
      <c r="G13" s="59" t="str">
        <f>IF(F13&gt;15,'Risk Matrix'!$C$30,IF('Risk Register'!F13&gt;9,'Risk Matrix'!$C$29,IF('Risk Register'!F13&gt;4,'Risk Matrix'!$C$28,IF(OR(F13=0, F13=""), "N/A",'Risk Matrix'!$C$27))))</f>
        <v xml:space="preserve">Management attention is needed. Control/preventive measures must be documented, monitored, measured and reviewed periodically for adequacy and compliance. Director must be directly involved and approve in writing for works to proceed.  Responsibility for monitoring and verification activities must be clearly defined and documented.  Corrective action (to be taken when unacceptable variations occur) must be documented.  Records must be maintained to demonstrate that the above requirements are being undertaken, and audited at least monthly. </v>
      </c>
      <c r="H13" s="24" t="s">
        <v>278</v>
      </c>
      <c r="I13" s="8" t="s">
        <v>247</v>
      </c>
      <c r="J13" s="8" t="s">
        <v>18</v>
      </c>
      <c r="K13" s="9">
        <f t="shared" si="4"/>
        <v>5</v>
      </c>
      <c r="L13" s="59" t="str">
        <f>IF(K13&gt;15,'Risk Matrix'!$C$30,IF('Risk Register'!K13&gt;9,'Risk Matrix'!$C$29,IF('Risk Register'!K13&gt;4,'Risk Matrix'!$C$28,IF(OR(K13=0, K13=""), "N/A",'Risk Matrix'!$C$27))))</f>
        <v>Management responsibility must be specified.  Policy and procedures must be documented.  Works cannot proceed without management oversight.  Records should be audited annually.</v>
      </c>
      <c r="M13" s="23" t="str">
        <f t="shared" si="5"/>
        <v>Yes</v>
      </c>
      <c r="N13" s="25"/>
      <c r="O13" s="21"/>
      <c r="P13" s="19"/>
      <c r="R13" s="72"/>
      <c r="S13" s="72"/>
      <c r="T13" s="72"/>
      <c r="U13" s="72"/>
    </row>
    <row r="14" spans="1:21" ht="33.75" customHeight="1" x14ac:dyDescent="0.2">
      <c r="A14" s="69" t="s">
        <v>276</v>
      </c>
      <c r="B14" s="29" t="s">
        <v>156</v>
      </c>
      <c r="C14" s="29" t="str">
        <f>IF(B14="Quality",'Risk Information '!$B$34,IF(B14="Environment",'Risk Information '!$B$35,IF(B14="WHS",'Risk Information '!$B$36,)))</f>
        <v>Work Health and Safety Act (QLD) 2013</v>
      </c>
      <c r="D14" s="19" t="s">
        <v>247</v>
      </c>
      <c r="E14" s="19" t="s">
        <v>18</v>
      </c>
      <c r="F14" s="13">
        <f t="shared" si="3"/>
        <v>5</v>
      </c>
      <c r="G14" s="59" t="str">
        <f>IF(F14&gt;15,'Risk Matrix'!$C$30,IF('Risk Register'!F14&gt;9,'Risk Matrix'!$C$29,IF('Risk Register'!F14&gt;4,'Risk Matrix'!$C$28,IF(OR(F14=0, F14=""), "N/A",'Risk Matrix'!$C$27))))</f>
        <v>Management responsibility must be specified.  Policy and procedures must be documented.  Works cannot proceed without management oversight.  Records should be audited annually.</v>
      </c>
      <c r="H14" s="24" t="s">
        <v>275</v>
      </c>
      <c r="I14" s="8" t="s">
        <v>247</v>
      </c>
      <c r="J14" s="8" t="s">
        <v>18</v>
      </c>
      <c r="K14" s="9">
        <f t="shared" si="4"/>
        <v>5</v>
      </c>
      <c r="L14" s="59" t="str">
        <f>IF(K14&gt;15,'Risk Matrix'!$C$30,IF('Risk Register'!K14&gt;9,'Risk Matrix'!$C$29,IF('Risk Register'!K14&gt;4,'Risk Matrix'!$C$28,IF(OR(K14=0, K14=""), "N/A",'Risk Matrix'!$C$27))))</f>
        <v>Management responsibility must be specified.  Policy and procedures must be documented.  Works cannot proceed without management oversight.  Records should be audited annually.</v>
      </c>
      <c r="M14" s="23" t="str">
        <f t="shared" si="5"/>
        <v>Yes</v>
      </c>
      <c r="N14" s="25"/>
      <c r="O14" s="21"/>
      <c r="P14" s="19"/>
      <c r="R14" s="72"/>
      <c r="S14" s="72"/>
      <c r="T14" s="72"/>
      <c r="U14" s="72"/>
    </row>
    <row r="15" spans="1:21" ht="33.75" customHeight="1" x14ac:dyDescent="0.2">
      <c r="A15" s="69" t="s">
        <v>282</v>
      </c>
      <c r="B15" s="29" t="s">
        <v>156</v>
      </c>
      <c r="C15" s="29" t="str">
        <f>IF(B15="Quality",'Risk Information '!$B$34,IF(B15="Environment",'Risk Information '!$B$35,IF(B15="WHS",'Risk Information '!$B$36,)))</f>
        <v>Work Health and Safety Act (QLD) 2013</v>
      </c>
      <c r="D15" s="19" t="s">
        <v>248</v>
      </c>
      <c r="E15" s="19" t="s">
        <v>14</v>
      </c>
      <c r="F15" s="13">
        <f t="shared" si="3"/>
        <v>20</v>
      </c>
      <c r="G15" s="59" t="str">
        <f>IF(F15&gt;15,'Risk Matrix'!$C$30,IF('Risk Register'!F15&gt;9,'Risk Matrix'!$C$29,IF('Risk Register'!F15&gt;4,'Risk Matrix'!$C$28,IF(OR(F15=0, F15=""), "N/A",'Risk Matrix'!$C$27))))</f>
        <v xml:space="preserve">Management must give this area high priority. Immediate action is required to bring the risk under control.  No extreme risk rating works may be carried out under any circumstances. Control/preventive measures must be documented, monitored, measured and reviewed periodically for adequacy and compliance.  Responsibility for monitoring and verification activities must be clearly defined and documented. Frequency of verification and validation activities (to check that controls are being applied and are effective) must be defined and documented.  Corrective action (to be taken when unacceptable variations occur) must be documented.  Records must be maintained to demonstrate that the above requirements are being undertaken, and audited at least monthly. </v>
      </c>
      <c r="H15" s="24" t="s">
        <v>273</v>
      </c>
      <c r="I15" s="8" t="s">
        <v>249</v>
      </c>
      <c r="J15" s="8" t="s">
        <v>14</v>
      </c>
      <c r="K15" s="9">
        <f t="shared" si="4"/>
        <v>10</v>
      </c>
      <c r="L15" s="59" t="str">
        <f>IF(K15&gt;15,'Risk Matrix'!$C$30,IF('Risk Register'!K15&gt;9,'Risk Matrix'!$C$29,IF('Risk Register'!K15&gt;4,'Risk Matrix'!$C$28,IF(OR(K15=0, K15=""), "N/A",'Risk Matrix'!$C$27))))</f>
        <v xml:space="preserve">Management attention is needed. Control/preventive measures must be documented, monitored, measured and reviewed periodically for adequacy and compliance. Director must be directly involved and approve in writing for works to proceed.  Responsibility for monitoring and verification activities must be clearly defined and documented.  Corrective action (to be taken when unacceptable variations occur) must be documented.  Records must be maintained to demonstrate that the above requirements are being undertaken, and audited at least monthly. </v>
      </c>
      <c r="M15" s="23" t="str">
        <f t="shared" si="5"/>
        <v>Yes</v>
      </c>
      <c r="N15" s="25"/>
      <c r="O15" s="21"/>
      <c r="P15" s="19"/>
      <c r="R15" s="72"/>
      <c r="S15" s="72"/>
      <c r="T15" s="72"/>
      <c r="U15" s="72"/>
    </row>
    <row r="16" spans="1:21" s="26" customFormat="1" ht="151.5" customHeight="1" x14ac:dyDescent="0.25">
      <c r="A16" s="29" t="s">
        <v>25</v>
      </c>
      <c r="B16" s="29" t="s">
        <v>156</v>
      </c>
      <c r="C16" s="29" t="str">
        <f>IF(B16="Quality",'Risk Information '!$B$34,IF(B16="Environment",'Risk Information '!$B$35,IF(B16="WHS",'Risk Information '!$B$36,)))</f>
        <v>Work Health and Safety Act (QLD) 2013</v>
      </c>
      <c r="D16" s="19" t="s">
        <v>250</v>
      </c>
      <c r="E16" s="19" t="s">
        <v>14</v>
      </c>
      <c r="F16" s="13">
        <f t="shared" si="3"/>
        <v>5</v>
      </c>
      <c r="G16" s="59" t="str">
        <f>IF(F16&gt;15,'Risk Matrix'!$C$30,IF('Risk Register'!F16&gt;9,'Risk Matrix'!$C$29,IF('Risk Register'!F16&gt;4,'Risk Matrix'!$C$28,IF(OR(F16=0, F16=""), "N/A",'Risk Matrix'!$C$27))))</f>
        <v>Management responsibility must be specified.  Policy and procedures must be documented.  Works cannot proceed without management oversight.  Records should be audited annually.</v>
      </c>
      <c r="H16" s="24" t="s">
        <v>34</v>
      </c>
      <c r="I16" s="8" t="s">
        <v>9</v>
      </c>
      <c r="J16" s="8" t="s">
        <v>15</v>
      </c>
      <c r="K16" s="9">
        <f t="shared" si="4"/>
        <v>4</v>
      </c>
      <c r="L16" s="59" t="str">
        <f>IF(K16&gt;15,'Risk Matrix'!$C$30,IF('Risk Register'!K16&gt;9,'Risk Matrix'!$C$29,IF('Risk Register'!K16&gt;4,'Risk Matrix'!$C$28,IF(OR(K16=0, K16=""), "N/A",'Risk Matrix'!$C$27))))</f>
        <v>Managed by routine procedures.  Records should be audited annually.  Work may proceed without specific management oversight.</v>
      </c>
      <c r="M16" s="23" t="str">
        <f t="shared" si="5"/>
        <v>Yes</v>
      </c>
      <c r="N16" s="25"/>
      <c r="O16" s="21"/>
      <c r="P16" s="19"/>
      <c r="R16" s="73"/>
      <c r="S16" s="73"/>
      <c r="T16" s="73"/>
      <c r="U16" s="73"/>
    </row>
    <row r="17" spans="1:21" ht="135" x14ac:dyDescent="0.2">
      <c r="A17" s="29" t="s">
        <v>305</v>
      </c>
      <c r="B17" s="29" t="s">
        <v>156</v>
      </c>
      <c r="C17" s="29" t="str">
        <f>IF(B17="Quality",'Risk Information '!$B$34,IF(B17="Environment",'Risk Information '!$B$35,IF(B17="WHS",'Risk Information '!$B$36,)))</f>
        <v>Work Health and Safety Act (QLD) 2013</v>
      </c>
      <c r="D17" s="19" t="s">
        <v>5</v>
      </c>
      <c r="E17" s="19" t="s">
        <v>16</v>
      </c>
      <c r="F17" s="13">
        <f t="shared" ref="F17:F63" si="6">IF(OR(ISBLANK(D17), ISBLANK(E17)),"",LEFT(D17,1)*LEFT(E17,1))</f>
        <v>15</v>
      </c>
      <c r="G17" s="59" t="str">
        <f>IF(F17&gt;15,'Risk Information '!$A$16,IF('Risk Register'!F17&gt;9,'Risk Information '!$A$17,IF('Risk Register'!F17&gt;4,'Risk Information '!$A$18,IF(OR(F17=0, F17=""), "N/A",'Risk Information '!$A$19))))</f>
        <v>Permission from high level management is permitted before work can proceed or further reduce risk.</v>
      </c>
      <c r="H17" s="5" t="s">
        <v>33</v>
      </c>
      <c r="I17" s="8" t="s">
        <v>9</v>
      </c>
      <c r="J17" s="8" t="s">
        <v>15</v>
      </c>
      <c r="K17" s="9">
        <f t="shared" ref="K17:K52" si="7">IF(OR(ISBLANK(I17), ISBLANK(J17)),"",LEFT(I17,1)*LEFT(J17,1))</f>
        <v>4</v>
      </c>
      <c r="L17" s="59" t="str">
        <f>IF(K17&gt;15,'Risk Matrix'!$C$30,IF('Risk Register'!K17&gt;9,'Risk Matrix'!$C$29,IF('Risk Register'!K17&gt;4,'Risk Matrix'!$C$28,IF(OR(K17=0, K17=""), "N/A",'Risk Matrix'!$C$27))))</f>
        <v>Managed by routine procedures.  Records should be audited annually.  Work may proceed without specific management oversight.</v>
      </c>
      <c r="M17" s="13" t="str">
        <f t="shared" ref="M17:M52" si="8">IF(F17="","",IF(F17&gt;3,"Yes","No"))</f>
        <v>Yes</v>
      </c>
      <c r="N17" s="20"/>
      <c r="O17" s="21"/>
      <c r="P17" s="19"/>
      <c r="R17" s="13" t="str">
        <f t="shared" ref="R17:R30" si="9">IF(F79="","",IF(F79&gt;3,"Yes","No"))</f>
        <v/>
      </c>
      <c r="S17" s="20"/>
      <c r="T17" s="21"/>
      <c r="U17" s="19"/>
    </row>
    <row r="18" spans="1:21" ht="162" x14ac:dyDescent="0.2">
      <c r="A18" s="29" t="s">
        <v>27</v>
      </c>
      <c r="B18" s="29" t="s">
        <v>156</v>
      </c>
      <c r="C18" s="29" t="str">
        <f>IF(B18="Quality",'Risk Information '!$B$34,IF(B18="Environment",'Risk Information '!$B$35,IF(B18="WHS",'Risk Information '!$B$36,)))</f>
        <v>Work Health and Safety Act (QLD) 2013</v>
      </c>
      <c r="D18" s="19" t="s">
        <v>6</v>
      </c>
      <c r="E18" s="19" t="s">
        <v>15</v>
      </c>
      <c r="F18" s="13">
        <f t="shared" si="6"/>
        <v>16</v>
      </c>
      <c r="G18" s="59" t="str">
        <f>IF(F18&gt;15,'Risk Information '!$A$16,IF('Risk Register'!F18&gt;9,'Risk Information '!$A$17,IF('Risk Register'!F18&gt;4,'Risk Information '!$A$18,IF(OR(F18=0, F18=""), "N/A",'Risk Information '!$A$19))))</f>
        <v>Work is unable to proceed until the risk can be reduced.</v>
      </c>
      <c r="H18" s="5" t="s">
        <v>71</v>
      </c>
      <c r="I18" s="8" t="s">
        <v>8</v>
      </c>
      <c r="J18" s="8" t="s">
        <v>17</v>
      </c>
      <c r="K18" s="9">
        <f t="shared" si="7"/>
        <v>4</v>
      </c>
      <c r="L18" s="59" t="str">
        <f>IF(K18&gt;15,'Risk Matrix'!$C$30,IF('Risk Register'!K18&gt;9,'Risk Matrix'!$C$29,IF('Risk Register'!K18&gt;4,'Risk Matrix'!$C$28,IF(OR(K18=0, K18=""), "N/A",'Risk Matrix'!$C$27))))</f>
        <v>Managed by routine procedures.  Records should be audited annually.  Work may proceed without specific management oversight.</v>
      </c>
      <c r="M18" s="13" t="str">
        <f t="shared" si="8"/>
        <v>Yes</v>
      </c>
      <c r="N18" s="20"/>
      <c r="O18" s="21"/>
      <c r="P18" s="19"/>
      <c r="R18" s="13" t="str">
        <f t="shared" si="9"/>
        <v/>
      </c>
      <c r="S18" s="20"/>
      <c r="T18" s="21"/>
      <c r="U18" s="19"/>
    </row>
    <row r="19" spans="1:21" ht="112.5" x14ac:dyDescent="0.2">
      <c r="A19" s="29" t="s">
        <v>28</v>
      </c>
      <c r="B19" s="29" t="s">
        <v>156</v>
      </c>
      <c r="C19" s="29" t="str">
        <f>IF(B19="Quality",'Risk Information '!$B$34,IF(B19="Environment",'Risk Information '!$B$35,IF(B19="WHS",'Risk Information '!$B$36,)))</f>
        <v>Work Health and Safety Act (QLD) 2013</v>
      </c>
      <c r="D19" s="19" t="s">
        <v>6</v>
      </c>
      <c r="E19" s="19" t="s">
        <v>15</v>
      </c>
      <c r="F19" s="13">
        <f t="shared" si="6"/>
        <v>16</v>
      </c>
      <c r="G19" s="59" t="str">
        <f>IF(F19&gt;15,'Risk Information '!$A$16,IF('Risk Register'!F19&gt;9,'Risk Information '!$A$17,IF('Risk Register'!F19&gt;4,'Risk Information '!$A$18,IF(OR(F19=0, F19=""), "N/A",'Risk Information '!$A$19))))</f>
        <v>Work is unable to proceed until the risk can be reduced.</v>
      </c>
      <c r="H19" s="5" t="s">
        <v>69</v>
      </c>
      <c r="I19" s="8" t="s">
        <v>9</v>
      </c>
      <c r="J19" s="8" t="s">
        <v>18</v>
      </c>
      <c r="K19" s="9">
        <f t="shared" si="7"/>
        <v>1</v>
      </c>
      <c r="L19" s="59" t="str">
        <f>IF(K19&gt;15,'Risk Matrix'!$C$30,IF('Risk Register'!K19&gt;9,'Risk Matrix'!$C$29,IF('Risk Register'!K19&gt;4,'Risk Matrix'!$C$28,IF(OR(K19=0, K19=""), "N/A",'Risk Matrix'!$C$27))))</f>
        <v>Managed by routine procedures.  Records should be audited annually.  Work may proceed without specific management oversight.</v>
      </c>
      <c r="M19" s="13" t="str">
        <f t="shared" si="8"/>
        <v>Yes</v>
      </c>
      <c r="N19" s="20"/>
      <c r="O19" s="21"/>
      <c r="P19" s="19"/>
      <c r="R19" s="13" t="str">
        <f t="shared" si="9"/>
        <v/>
      </c>
      <c r="S19" s="20"/>
      <c r="T19" s="21"/>
      <c r="U19" s="19"/>
    </row>
    <row r="20" spans="1:21" ht="135" x14ac:dyDescent="0.2">
      <c r="A20" s="29" t="s">
        <v>29</v>
      </c>
      <c r="B20" s="29" t="s">
        <v>156</v>
      </c>
      <c r="C20" s="29" t="str">
        <f>IF(B20="Quality",'Risk Information '!$B$34,IF(B20="Environment",'Risk Information '!$B$35,IF(B20="WHS",'Risk Information '!$B$36,)))</f>
        <v>Work Health and Safety Act (QLD) 2013</v>
      </c>
      <c r="D20" s="19" t="s">
        <v>8</v>
      </c>
      <c r="E20" s="19" t="s">
        <v>14</v>
      </c>
      <c r="F20" s="13">
        <f t="shared" si="6"/>
        <v>10</v>
      </c>
      <c r="G20" s="59" t="str">
        <f>IF(F20&gt;15,'Risk Information '!$A$16,IF('Risk Register'!F20&gt;9,'Risk Information '!$A$17,IF('Risk Register'!F20&gt;4,'Risk Information '!$A$18,IF(OR(F20=0, F20=""), "N/A",'Risk Information '!$A$19))))</f>
        <v>Permission from high level management is permitted before work can proceed or further reduce risk.</v>
      </c>
      <c r="H20" s="5" t="s">
        <v>58</v>
      </c>
      <c r="I20" s="8" t="s">
        <v>9</v>
      </c>
      <c r="J20" s="8" t="s">
        <v>18</v>
      </c>
      <c r="K20" s="9">
        <f t="shared" si="7"/>
        <v>1</v>
      </c>
      <c r="L20" s="59" t="str">
        <f>IF(K20&gt;15,'Risk Matrix'!$C$30,IF('Risk Register'!K20&gt;9,'Risk Matrix'!$C$29,IF('Risk Register'!K20&gt;4,'Risk Matrix'!$C$28,IF(OR(K20=0, K20=""), "N/A",'Risk Matrix'!$C$27))))</f>
        <v>Managed by routine procedures.  Records should be audited annually.  Work may proceed without specific management oversight.</v>
      </c>
      <c r="M20" s="13" t="str">
        <f t="shared" si="8"/>
        <v>Yes</v>
      </c>
      <c r="N20" s="20"/>
      <c r="O20" s="21"/>
      <c r="P20" s="19"/>
      <c r="R20" s="13" t="str">
        <f t="shared" si="9"/>
        <v/>
      </c>
      <c r="S20" s="20"/>
      <c r="T20" s="21"/>
      <c r="U20" s="19"/>
    </row>
    <row r="21" spans="1:21" ht="135" x14ac:dyDescent="0.2">
      <c r="A21" s="29" t="s">
        <v>30</v>
      </c>
      <c r="B21" s="29" t="s">
        <v>156</v>
      </c>
      <c r="C21" s="29" t="str">
        <f>IF(B21="Quality",'Risk Information '!$B$34,IF(B21="Environment",'Risk Information '!$B$35,IF(B21="WHS",'Risk Information '!$B$36,)))</f>
        <v>Work Health and Safety Act (QLD) 2013</v>
      </c>
      <c r="D21" s="19" t="s">
        <v>6</v>
      </c>
      <c r="E21" s="19" t="s">
        <v>17</v>
      </c>
      <c r="F21" s="13">
        <f t="shared" si="6"/>
        <v>8</v>
      </c>
      <c r="G21" s="59" t="str">
        <f>IF(F21&gt;15,'Risk Information '!$A$16,IF('Risk Register'!F21&gt;9,'Risk Information '!$A$17,IF('Risk Register'!F21&gt;4,'Risk Information '!$A$18,IF(OR(F21=0, F21=""), "N/A",'Risk Information '!$A$19))))</f>
        <v>Permission from worker in charge is permitted before work can proceed.</v>
      </c>
      <c r="H21" s="5" t="s">
        <v>32</v>
      </c>
      <c r="I21" s="8" t="s">
        <v>8</v>
      </c>
      <c r="J21" s="8" t="s">
        <v>17</v>
      </c>
      <c r="K21" s="9">
        <f t="shared" si="7"/>
        <v>4</v>
      </c>
      <c r="L21" s="59" t="str">
        <f>IF(K21&gt;15,'Risk Matrix'!$C$30,IF('Risk Register'!K21&gt;9,'Risk Matrix'!$C$29,IF('Risk Register'!K21&gt;4,'Risk Matrix'!$C$28,IF(OR(K21=0, K21=""), "N/A",'Risk Matrix'!$C$27))))</f>
        <v>Managed by routine procedures.  Records should be audited annually.  Work may proceed without specific management oversight.</v>
      </c>
      <c r="M21" s="13" t="str">
        <f t="shared" si="8"/>
        <v>Yes</v>
      </c>
      <c r="N21" s="20"/>
      <c r="O21" s="21"/>
      <c r="P21" s="19"/>
      <c r="R21" s="13" t="str">
        <f t="shared" si="9"/>
        <v/>
      </c>
      <c r="S21" s="20"/>
      <c r="T21" s="21"/>
      <c r="U21" s="19"/>
    </row>
    <row r="22" spans="1:21" ht="135" x14ac:dyDescent="0.2">
      <c r="A22" s="29" t="s">
        <v>31</v>
      </c>
      <c r="B22" s="29" t="s">
        <v>156</v>
      </c>
      <c r="C22" s="29" t="str">
        <f>IF(B22="Quality",'Risk Information '!$B$34,IF(B22="Environment",'Risk Information '!$B$35,IF(B22="WHS",'Risk Information '!$B$36,)))</f>
        <v>Work Health and Safety Act (QLD) 2013</v>
      </c>
      <c r="D22" s="19" t="s">
        <v>7</v>
      </c>
      <c r="E22" s="19" t="s">
        <v>16</v>
      </c>
      <c r="F22" s="13">
        <f t="shared" si="6"/>
        <v>9</v>
      </c>
      <c r="G22" s="59" t="str">
        <f>IF(F22&gt;15,'Risk Information '!$A$16,IF('Risk Register'!F22&gt;9,'Risk Information '!$A$17,IF('Risk Register'!F22&gt;4,'Risk Information '!$A$18,IF(OR(F22=0, F22=""), "N/A",'Risk Information '!$A$19))))</f>
        <v>Permission from worker in charge is permitted before work can proceed.</v>
      </c>
      <c r="H22" s="5" t="s">
        <v>42</v>
      </c>
      <c r="I22" s="8" t="s">
        <v>8</v>
      </c>
      <c r="J22" s="8" t="s">
        <v>17</v>
      </c>
      <c r="K22" s="9">
        <f t="shared" si="7"/>
        <v>4</v>
      </c>
      <c r="L22" s="59" t="str">
        <f>IF(K22&gt;15,'Risk Matrix'!$C$30,IF('Risk Register'!K22&gt;9,'Risk Matrix'!$C$29,IF('Risk Register'!K22&gt;4,'Risk Matrix'!$C$28,IF(OR(K22=0, K22=""), "N/A",'Risk Matrix'!$C$27))))</f>
        <v>Managed by routine procedures.  Records should be audited annually.  Work may proceed without specific management oversight.</v>
      </c>
      <c r="M22" s="13" t="str">
        <f t="shared" si="8"/>
        <v>Yes</v>
      </c>
      <c r="N22" s="20"/>
      <c r="O22" s="21"/>
      <c r="P22" s="19"/>
      <c r="R22" s="13" t="str">
        <f t="shared" si="9"/>
        <v/>
      </c>
      <c r="S22" s="20"/>
      <c r="T22" s="21"/>
      <c r="U22" s="19"/>
    </row>
    <row r="23" spans="1:21" ht="135" x14ac:dyDescent="0.2">
      <c r="A23" s="29" t="s">
        <v>35</v>
      </c>
      <c r="B23" s="29" t="s">
        <v>156</v>
      </c>
      <c r="C23" s="29" t="str">
        <f>IF(B23="Quality",'Risk Information '!$B$34,IF(B23="Environment",'Risk Information '!$B$35,IF(B23="WHS",'Risk Information '!$B$36,)))</f>
        <v>Work Health and Safety Act (QLD) 2013</v>
      </c>
      <c r="D23" s="19" t="s">
        <v>7</v>
      </c>
      <c r="E23" s="19" t="s">
        <v>15</v>
      </c>
      <c r="F23" s="13">
        <f t="shared" si="6"/>
        <v>12</v>
      </c>
      <c r="G23" s="59" t="str">
        <f>IF(F23&gt;15,'Risk Information '!$A$16,IF('Risk Register'!F23&gt;9,'Risk Information '!$A$17,IF('Risk Register'!F23&gt;4,'Risk Information '!$A$18,IF(OR(F23=0, F23=""), "N/A",'Risk Information '!$A$19))))</f>
        <v>Permission from high level management is permitted before work can proceed or further reduce risk.</v>
      </c>
      <c r="H23" s="5" t="s">
        <v>36</v>
      </c>
      <c r="I23" s="8" t="s">
        <v>8</v>
      </c>
      <c r="J23" s="8" t="s">
        <v>17</v>
      </c>
      <c r="K23" s="9">
        <f t="shared" si="7"/>
        <v>4</v>
      </c>
      <c r="L23" s="59" t="str">
        <f>IF(K23&gt;15,'Risk Matrix'!$C$30,IF('Risk Register'!K23&gt;9,'Risk Matrix'!$C$29,IF('Risk Register'!K23&gt;4,'Risk Matrix'!$C$28,IF(OR(K23=0, K23=""), "N/A",'Risk Matrix'!$C$27))))</f>
        <v>Managed by routine procedures.  Records should be audited annually.  Work may proceed without specific management oversight.</v>
      </c>
      <c r="M23" s="13" t="str">
        <f t="shared" si="8"/>
        <v>Yes</v>
      </c>
      <c r="N23" s="20"/>
      <c r="O23" s="21"/>
      <c r="P23" s="19"/>
      <c r="R23" s="13" t="str">
        <f t="shared" si="9"/>
        <v/>
      </c>
      <c r="S23" s="20"/>
      <c r="T23" s="21"/>
      <c r="U23" s="19"/>
    </row>
    <row r="24" spans="1:21" ht="180" x14ac:dyDescent="0.2">
      <c r="A24" s="29" t="s">
        <v>37</v>
      </c>
      <c r="B24" s="29" t="s">
        <v>156</v>
      </c>
      <c r="C24" s="29" t="str">
        <f>IF(B24="Quality",'Risk Information '!$B$34,IF(B24="Environment",'Risk Information '!$B$35,IF(B24="WHS",'Risk Information '!$B$36,)))</f>
        <v>Work Health and Safety Act (QLD) 2013</v>
      </c>
      <c r="D24" s="19" t="s">
        <v>7</v>
      </c>
      <c r="E24" s="19" t="s">
        <v>14</v>
      </c>
      <c r="F24" s="13">
        <f t="shared" si="6"/>
        <v>15</v>
      </c>
      <c r="G24" s="59" t="str">
        <f>IF(F24&gt;15,'Risk Information '!$A$16,IF('Risk Register'!F24&gt;9,'Risk Information '!$A$17,IF('Risk Register'!F24&gt;4,'Risk Information '!$A$18,IF(OR(F24=0, F24=""), "N/A",'Risk Information '!$A$19))))</f>
        <v>Permission from high level management is permitted before work can proceed or further reduce risk.</v>
      </c>
      <c r="H24" s="5" t="s">
        <v>74</v>
      </c>
      <c r="I24" s="8" t="s">
        <v>9</v>
      </c>
      <c r="J24" s="8" t="s">
        <v>14</v>
      </c>
      <c r="K24" s="9">
        <f t="shared" si="7"/>
        <v>5</v>
      </c>
      <c r="L24" s="59" t="str">
        <f>IF(K24&gt;15,'Risk Matrix'!$C$30,IF('Risk Register'!K24&gt;9,'Risk Matrix'!$C$29,IF('Risk Register'!K24&gt;4,'Risk Matrix'!$C$28,IF(OR(K24=0, K24=""), "N/A",'Risk Matrix'!$C$27))))</f>
        <v>Management responsibility must be specified.  Policy and procedures must be documented.  Works cannot proceed without management oversight.  Records should be audited annually.</v>
      </c>
      <c r="M24" s="13" t="str">
        <f t="shared" si="8"/>
        <v>Yes</v>
      </c>
      <c r="N24" s="20"/>
      <c r="O24" s="21"/>
      <c r="P24" s="19"/>
      <c r="R24" s="13" t="str">
        <f t="shared" si="9"/>
        <v/>
      </c>
      <c r="S24" s="20"/>
      <c r="T24" s="21"/>
      <c r="U24" s="19"/>
    </row>
    <row r="25" spans="1:21" ht="180" x14ac:dyDescent="0.2">
      <c r="A25" s="29" t="s">
        <v>38</v>
      </c>
      <c r="B25" s="29" t="s">
        <v>156</v>
      </c>
      <c r="C25" s="29" t="str">
        <f>IF(B25="Quality",'Risk Information '!$B$34,IF(B25="Environment",'Risk Information '!$B$35,IF(B25="WHS",'Risk Information '!$B$36,)))</f>
        <v>Work Health and Safety Act (QLD) 2013</v>
      </c>
      <c r="D25" s="19" t="s">
        <v>7</v>
      </c>
      <c r="E25" s="19" t="s">
        <v>14</v>
      </c>
      <c r="F25" s="13">
        <f t="shared" si="6"/>
        <v>15</v>
      </c>
      <c r="G25" s="59" t="str">
        <f>IF(F25&gt;15,'Risk Information '!$A$16,IF('Risk Register'!F25&gt;9,'Risk Information '!$A$17,IF('Risk Register'!F25&gt;4,'Risk Information '!$A$18,IF(OR(F25=0, F25=""), "N/A",'Risk Information '!$A$19))))</f>
        <v>Permission from high level management is permitted before work can proceed or further reduce risk.</v>
      </c>
      <c r="H25" s="5" t="s">
        <v>43</v>
      </c>
      <c r="I25" s="8" t="s">
        <v>9</v>
      </c>
      <c r="J25" s="8" t="s">
        <v>14</v>
      </c>
      <c r="K25" s="9">
        <f t="shared" si="7"/>
        <v>5</v>
      </c>
      <c r="L25" s="59" t="str">
        <f>IF(K25&gt;15,'Risk Matrix'!$C$30,IF('Risk Register'!K25&gt;9,'Risk Matrix'!$C$29,IF('Risk Register'!K25&gt;4,'Risk Matrix'!$C$28,IF(OR(K25=0, K25=""), "N/A",'Risk Matrix'!$C$27))))</f>
        <v>Management responsibility must be specified.  Policy and procedures must be documented.  Works cannot proceed without management oversight.  Records should be audited annually.</v>
      </c>
      <c r="M25" s="13" t="str">
        <f t="shared" si="8"/>
        <v>Yes</v>
      </c>
      <c r="N25" s="20"/>
      <c r="O25" s="21"/>
      <c r="P25" s="19"/>
      <c r="R25" s="13" t="str">
        <f t="shared" si="9"/>
        <v/>
      </c>
      <c r="S25" s="20"/>
      <c r="T25" s="21"/>
      <c r="U25" s="19"/>
    </row>
    <row r="26" spans="1:21" ht="112.5" x14ac:dyDescent="0.2">
      <c r="A26" s="29" t="s">
        <v>39</v>
      </c>
      <c r="B26" s="29" t="s">
        <v>156</v>
      </c>
      <c r="C26" s="29" t="str">
        <f>IF(B26="Quality",'Risk Information '!$B$34,IF(B26="Environment",'Risk Information '!$B$35,IF(B26="WHS",'Risk Information '!$B$36,)))</f>
        <v>Work Health and Safety Act (QLD) 2013</v>
      </c>
      <c r="D26" s="19" t="s">
        <v>6</v>
      </c>
      <c r="E26" s="19" t="s">
        <v>14</v>
      </c>
      <c r="F26" s="13">
        <f t="shared" si="6"/>
        <v>20</v>
      </c>
      <c r="G26" s="59" t="str">
        <f>IF(F26&gt;15,'Risk Information '!$A$16,IF('Risk Register'!F26&gt;9,'Risk Information '!$A$17,IF('Risk Register'!F26&gt;4,'Risk Information '!$A$18,IF(OR(F26=0, F26=""), "N/A",'Risk Information '!$A$19))))</f>
        <v>Work is unable to proceed until the risk can be reduced.</v>
      </c>
      <c r="H26" s="5" t="s">
        <v>44</v>
      </c>
      <c r="I26" s="8" t="s">
        <v>9</v>
      </c>
      <c r="J26" s="8" t="s">
        <v>18</v>
      </c>
      <c r="K26" s="9">
        <f t="shared" si="7"/>
        <v>1</v>
      </c>
      <c r="L26" s="59" t="str">
        <f>IF(K26&gt;15,'Risk Matrix'!$C$30,IF('Risk Register'!K26&gt;9,'Risk Matrix'!$C$29,IF('Risk Register'!K26&gt;4,'Risk Matrix'!$C$28,IF(OR(K26=0, K26=""), "N/A",'Risk Matrix'!$C$27))))</f>
        <v>Managed by routine procedures.  Records should be audited annually.  Work may proceed without specific management oversight.</v>
      </c>
      <c r="M26" s="13" t="str">
        <f t="shared" si="8"/>
        <v>Yes</v>
      </c>
      <c r="N26" s="20"/>
      <c r="O26" s="21"/>
      <c r="P26" s="19"/>
      <c r="R26" s="13" t="str">
        <f t="shared" si="9"/>
        <v/>
      </c>
      <c r="S26" s="20"/>
      <c r="T26" s="21"/>
      <c r="U26" s="19"/>
    </row>
    <row r="27" spans="1:21" ht="180" x14ac:dyDescent="0.2">
      <c r="A27" s="29" t="s">
        <v>86</v>
      </c>
      <c r="B27" s="29" t="s">
        <v>156</v>
      </c>
      <c r="C27" s="29" t="str">
        <f>IF(B27="Quality",'Risk Information '!$B$34,IF(B27="Environment",'Risk Information '!$B$35,IF(B27="WHS",'Risk Information '!$B$36,)))</f>
        <v>Work Health and Safety Act (QLD) 2013</v>
      </c>
      <c r="D27" s="19" t="s">
        <v>7</v>
      </c>
      <c r="E27" s="19" t="s">
        <v>14</v>
      </c>
      <c r="F27" s="13">
        <f t="shared" si="6"/>
        <v>15</v>
      </c>
      <c r="G27" s="59" t="str">
        <f>IF(F27&gt;15,'Risk Information '!$A$16,IF('Risk Register'!F27&gt;9,'Risk Information '!$A$17,IF('Risk Register'!F27&gt;4,'Risk Information '!$A$18,IF(OR(F27=0, F27=""), "N/A",'Risk Information '!$A$19))))</f>
        <v>Permission from high level management is permitted before work can proceed or further reduce risk.</v>
      </c>
      <c r="H27" s="5" t="s">
        <v>306</v>
      </c>
      <c r="I27" s="8" t="s">
        <v>9</v>
      </c>
      <c r="J27" s="8" t="s">
        <v>14</v>
      </c>
      <c r="K27" s="9">
        <f t="shared" si="7"/>
        <v>5</v>
      </c>
      <c r="L27" s="59" t="str">
        <f>IF(K27&gt;15,'Risk Matrix'!$C$30,IF('Risk Register'!K27&gt;9,'Risk Matrix'!$C$29,IF('Risk Register'!K27&gt;4,'Risk Matrix'!$C$28,IF(OR(K27=0, K27=""), "N/A",'Risk Matrix'!$C$27))))</f>
        <v>Management responsibility must be specified.  Policy and procedures must be documented.  Works cannot proceed without management oversight.  Records should be audited annually.</v>
      </c>
      <c r="M27" s="13" t="str">
        <f t="shared" si="8"/>
        <v>Yes</v>
      </c>
      <c r="N27" s="20"/>
      <c r="O27" s="21"/>
      <c r="P27" s="19"/>
      <c r="R27" s="13" t="str">
        <f t="shared" si="9"/>
        <v/>
      </c>
      <c r="S27" s="20"/>
      <c r="T27" s="21"/>
      <c r="U27" s="19"/>
    </row>
    <row r="28" spans="1:21" ht="135" x14ac:dyDescent="0.2">
      <c r="A28" s="29" t="s">
        <v>40</v>
      </c>
      <c r="B28" s="29" t="s">
        <v>156</v>
      </c>
      <c r="C28" s="29" t="str">
        <f>IF(B28="Quality",'Risk Information '!$B$34,IF(B28="Environment",'Risk Information '!$B$35,IF(B28="WHS",'Risk Information '!$B$36,)))</f>
        <v>Work Health and Safety Act (QLD) 2013</v>
      </c>
      <c r="D28" s="19" t="s">
        <v>7</v>
      </c>
      <c r="E28" s="19" t="s">
        <v>16</v>
      </c>
      <c r="F28" s="13">
        <f t="shared" si="6"/>
        <v>9</v>
      </c>
      <c r="G28" s="59" t="str">
        <f>IF(F28&gt;15,'Risk Information '!$A$16,IF('Risk Register'!F28&gt;9,'Risk Information '!$A$17,IF('Risk Register'!F28&gt;4,'Risk Information '!$A$18,IF(OR(F28=0, F28=""), "N/A",'Risk Information '!$A$19))))</f>
        <v>Permission from worker in charge is permitted before work can proceed.</v>
      </c>
      <c r="H28" s="5" t="s">
        <v>45</v>
      </c>
      <c r="I28" s="8" t="s">
        <v>9</v>
      </c>
      <c r="J28" s="8" t="s">
        <v>17</v>
      </c>
      <c r="K28" s="9">
        <f t="shared" si="7"/>
        <v>2</v>
      </c>
      <c r="L28" s="59" t="str">
        <f>IF(K28&gt;15,'Risk Matrix'!$C$30,IF('Risk Register'!K28&gt;9,'Risk Matrix'!$C$29,IF('Risk Register'!K28&gt;4,'Risk Matrix'!$C$28,IF(OR(K28=0, K28=""), "N/A",'Risk Matrix'!$C$27))))</f>
        <v>Managed by routine procedures.  Records should be audited annually.  Work may proceed without specific management oversight.</v>
      </c>
      <c r="M28" s="13" t="str">
        <f t="shared" si="8"/>
        <v>Yes</v>
      </c>
      <c r="N28" s="20"/>
      <c r="O28" s="21"/>
      <c r="P28" s="19"/>
      <c r="R28" s="13" t="str">
        <f t="shared" si="9"/>
        <v/>
      </c>
      <c r="S28" s="20"/>
      <c r="T28" s="21"/>
      <c r="U28" s="19"/>
    </row>
    <row r="29" spans="1:21" ht="135" x14ac:dyDescent="0.2">
      <c r="A29" s="29" t="s">
        <v>41</v>
      </c>
      <c r="B29" s="29" t="s">
        <v>156</v>
      </c>
      <c r="C29" s="29" t="str">
        <f>IF(B29="Quality",'Risk Information '!$B$34,IF(B29="Environment",'Risk Information '!$B$35,IF(B29="WHS",'Risk Information '!$B$36,)))</f>
        <v>Work Health and Safety Act (QLD) 2013</v>
      </c>
      <c r="D29" s="19" t="s">
        <v>6</v>
      </c>
      <c r="E29" s="19" t="s">
        <v>15</v>
      </c>
      <c r="F29" s="13">
        <f t="shared" si="6"/>
        <v>16</v>
      </c>
      <c r="G29" s="59" t="str">
        <f>IF(F29&gt;15,'Risk Information '!$A$16,IF('Risk Register'!F29&gt;9,'Risk Information '!$A$17,IF('Risk Register'!F29&gt;4,'Risk Information '!$A$18,IF(OR(F29=0, F29=""), "N/A",'Risk Information '!$A$19))))</f>
        <v>Work is unable to proceed until the risk can be reduced.</v>
      </c>
      <c r="H29" s="5" t="s">
        <v>46</v>
      </c>
      <c r="I29" s="8" t="s">
        <v>9</v>
      </c>
      <c r="J29" s="8" t="s">
        <v>15</v>
      </c>
      <c r="K29" s="9">
        <f t="shared" si="7"/>
        <v>4</v>
      </c>
      <c r="L29" s="59" t="str">
        <f>IF(K29&gt;15,'Risk Matrix'!$C$30,IF('Risk Register'!K29&gt;9,'Risk Matrix'!$C$29,IF('Risk Register'!K29&gt;4,'Risk Matrix'!$C$28,IF(OR(K29=0, K29=""), "N/A",'Risk Matrix'!$C$27))))</f>
        <v>Managed by routine procedures.  Records should be audited annually.  Work may proceed without specific management oversight.</v>
      </c>
      <c r="M29" s="13" t="str">
        <f t="shared" si="8"/>
        <v>Yes</v>
      </c>
      <c r="N29" s="20"/>
      <c r="O29" s="21"/>
      <c r="P29" s="19"/>
      <c r="R29" s="13" t="str">
        <f t="shared" si="9"/>
        <v/>
      </c>
      <c r="S29" s="20"/>
      <c r="T29" s="21"/>
      <c r="U29" s="19"/>
    </row>
    <row r="30" spans="1:21" ht="135" x14ac:dyDescent="0.2">
      <c r="A30" s="29" t="s">
        <v>50</v>
      </c>
      <c r="B30" s="29" t="s">
        <v>156</v>
      </c>
      <c r="C30" s="29" t="str">
        <f>IF(B30="Quality",'Risk Information '!$B$34,IF(B30="Environment",'Risk Information '!$B$35,IF(B30="WHS",'Risk Information '!$B$36,)))</f>
        <v>Work Health and Safety Act (QLD) 2013</v>
      </c>
      <c r="D30" s="19" t="s">
        <v>5</v>
      </c>
      <c r="E30" s="19" t="s">
        <v>17</v>
      </c>
      <c r="F30" s="13">
        <f t="shared" si="6"/>
        <v>10</v>
      </c>
      <c r="G30" s="59" t="str">
        <f>IF(F30&gt;15,'Risk Information '!$A$16,IF('Risk Register'!F30&gt;9,'Risk Information '!$A$17,IF('Risk Register'!F30&gt;4,'Risk Information '!$A$18,IF(OR(F30=0, F30=""), "N/A",'Risk Information '!$A$19))))</f>
        <v>Permission from high level management is permitted before work can proceed or further reduce risk.</v>
      </c>
      <c r="H30" s="5" t="s">
        <v>51</v>
      </c>
      <c r="I30" s="8" t="s">
        <v>8</v>
      </c>
      <c r="J30" s="8" t="s">
        <v>17</v>
      </c>
      <c r="K30" s="9">
        <f t="shared" si="7"/>
        <v>4</v>
      </c>
      <c r="L30" s="59" t="str">
        <f>IF(K30&gt;15,'Risk Matrix'!$C$30,IF('Risk Register'!K30&gt;9,'Risk Matrix'!$C$29,IF('Risk Register'!K30&gt;4,'Risk Matrix'!$C$28,IF(OR(K30=0, K30=""), "N/A",'Risk Matrix'!$C$27))))</f>
        <v>Managed by routine procedures.  Records should be audited annually.  Work may proceed without specific management oversight.</v>
      </c>
      <c r="M30" s="13" t="str">
        <f t="shared" si="8"/>
        <v>Yes</v>
      </c>
      <c r="N30" s="20"/>
      <c r="O30" s="19"/>
      <c r="P30" s="19"/>
      <c r="R30" s="13" t="str">
        <f t="shared" si="9"/>
        <v/>
      </c>
      <c r="S30" s="20"/>
      <c r="T30" s="21"/>
      <c r="U30" s="19"/>
    </row>
    <row r="31" spans="1:21" ht="135" x14ac:dyDescent="0.2">
      <c r="A31" s="29" t="s">
        <v>52</v>
      </c>
      <c r="B31" s="29" t="s">
        <v>156</v>
      </c>
      <c r="C31" s="29" t="str">
        <f>IF(B31="Quality",'Risk Information '!$B$34,IF(B31="Environment",'Risk Information '!$B$35,IF(B31="WHS",'Risk Information '!$B$36,)))</f>
        <v>Work Health and Safety Act (QLD) 2013</v>
      </c>
      <c r="D31" s="19" t="s">
        <v>7</v>
      </c>
      <c r="E31" s="19" t="s">
        <v>15</v>
      </c>
      <c r="F31" s="13">
        <f t="shared" si="6"/>
        <v>12</v>
      </c>
      <c r="G31" s="59" t="str">
        <f>IF(F31&gt;15,'Risk Information '!$A$16,IF('Risk Register'!F31&gt;9,'Risk Information '!$A$17,IF('Risk Register'!F31&gt;4,'Risk Information '!$A$18,IF(OR(F31=0, F31=""), "N/A",'Risk Information '!$A$19))))</f>
        <v>Permission from high level management is permitted before work can proceed or further reduce risk.</v>
      </c>
      <c r="H31" s="5" t="s">
        <v>53</v>
      </c>
      <c r="I31" s="8" t="s">
        <v>8</v>
      </c>
      <c r="J31" s="8" t="s">
        <v>17</v>
      </c>
      <c r="K31" s="9">
        <f t="shared" si="7"/>
        <v>4</v>
      </c>
      <c r="L31" s="59" t="str">
        <f>IF(K31&gt;15,'Risk Matrix'!$C$30,IF('Risk Register'!K31&gt;9,'Risk Matrix'!$C$29,IF('Risk Register'!K31&gt;4,'Risk Matrix'!$C$28,IF(OR(K31=0, K31=""), "N/A",'Risk Matrix'!$C$27))))</f>
        <v>Managed by routine procedures.  Records should be audited annually.  Work may proceed without specific management oversight.</v>
      </c>
      <c r="M31" s="13" t="str">
        <f t="shared" si="8"/>
        <v>Yes</v>
      </c>
      <c r="N31" s="20"/>
      <c r="O31" s="19"/>
      <c r="P31" s="19"/>
      <c r="R31" s="13" t="str">
        <f>IF(F93="","N/a",IF(F93&gt;3,"Yes","No"))</f>
        <v>N/a</v>
      </c>
      <c r="S31" s="20"/>
      <c r="T31" s="19"/>
      <c r="U31" s="19"/>
    </row>
    <row r="32" spans="1:21" ht="135" x14ac:dyDescent="0.2">
      <c r="A32" s="29" t="s">
        <v>54</v>
      </c>
      <c r="B32" s="29" t="s">
        <v>156</v>
      </c>
      <c r="C32" s="29" t="str">
        <f>IF(B32="Quality",'Risk Information '!$B$34,IF(B32="Environment",'Risk Information '!$B$35,IF(B32="WHS",'Risk Information '!$B$36,)))</f>
        <v>Work Health and Safety Act (QLD) 2013</v>
      </c>
      <c r="D32" s="19" t="s">
        <v>8</v>
      </c>
      <c r="E32" s="19" t="s">
        <v>14</v>
      </c>
      <c r="F32" s="13">
        <f t="shared" si="6"/>
        <v>10</v>
      </c>
      <c r="G32" s="59" t="str">
        <f>IF(F32&gt;15,'Risk Information '!$A$16,IF('Risk Register'!F32&gt;9,'Risk Information '!$A$17,IF('Risk Register'!F32&gt;4,'Risk Information '!$A$18,IF(OR(F32=0, F32=""), "N/A",'Risk Information '!$A$19))))</f>
        <v>Permission from high level management is permitted before work can proceed or further reduce risk.</v>
      </c>
      <c r="H32" s="5" t="s">
        <v>55</v>
      </c>
      <c r="I32" s="8" t="s">
        <v>9</v>
      </c>
      <c r="J32" s="8" t="s">
        <v>15</v>
      </c>
      <c r="K32" s="9">
        <f t="shared" si="7"/>
        <v>4</v>
      </c>
      <c r="L32" s="59" t="str">
        <f>IF(K32&gt;15,'Risk Matrix'!$C$30,IF('Risk Register'!K32&gt;9,'Risk Matrix'!$C$29,IF('Risk Register'!K32&gt;4,'Risk Matrix'!$C$28,IF(OR(K32=0, K32=""), "N/A",'Risk Matrix'!$C$27))))</f>
        <v>Managed by routine procedures.  Records should be audited annually.  Work may proceed without specific management oversight.</v>
      </c>
      <c r="M32" s="13" t="str">
        <f t="shared" si="8"/>
        <v>Yes</v>
      </c>
      <c r="N32" s="20"/>
      <c r="O32" s="19"/>
      <c r="P32" s="19"/>
      <c r="R32" s="13" t="str">
        <f t="shared" ref="R32:R38" si="10">IF(F94="","",IF(F94&gt;3,"Yes","No"))</f>
        <v/>
      </c>
      <c r="S32" s="20"/>
      <c r="T32" s="19"/>
      <c r="U32" s="19"/>
    </row>
    <row r="33" spans="1:21" ht="135" x14ac:dyDescent="0.2">
      <c r="A33" s="29" t="s">
        <v>56</v>
      </c>
      <c r="B33" s="29" t="s">
        <v>156</v>
      </c>
      <c r="C33" s="29" t="str">
        <f>IF(B33="Quality",'Risk Information '!$B$34,IF(B33="Environment",'Risk Information '!$B$35,IF(B33="WHS",'Risk Information '!$B$36,)))</f>
        <v>Work Health and Safety Act (QLD) 2013</v>
      </c>
      <c r="D33" s="19" t="s">
        <v>7</v>
      </c>
      <c r="E33" s="19" t="s">
        <v>15</v>
      </c>
      <c r="F33" s="13">
        <f t="shared" si="6"/>
        <v>12</v>
      </c>
      <c r="G33" s="59" t="str">
        <f>IF(F33&gt;15,'Risk Information '!$A$16,IF('Risk Register'!F33&gt;9,'Risk Information '!$A$17,IF('Risk Register'!F33&gt;4,'Risk Information '!$A$18,IF(OR(F33=0, F33=""), "N/A",'Risk Information '!$A$19))))</f>
        <v>Permission from high level management is permitted before work can proceed or further reduce risk.</v>
      </c>
      <c r="H33" s="5" t="s">
        <v>57</v>
      </c>
      <c r="I33" s="8" t="s">
        <v>8</v>
      </c>
      <c r="J33" s="8" t="s">
        <v>17</v>
      </c>
      <c r="K33" s="9">
        <f t="shared" si="7"/>
        <v>4</v>
      </c>
      <c r="L33" s="59" t="str">
        <f>IF(K33&gt;15,'Risk Matrix'!$C$30,IF('Risk Register'!K33&gt;9,'Risk Matrix'!$C$29,IF('Risk Register'!K33&gt;4,'Risk Matrix'!$C$28,IF(OR(K33=0, K33=""), "N/A",'Risk Matrix'!$C$27))))</f>
        <v>Managed by routine procedures.  Records should be audited annually.  Work may proceed without specific management oversight.</v>
      </c>
      <c r="M33" s="13" t="str">
        <f t="shared" si="8"/>
        <v>Yes</v>
      </c>
      <c r="N33" s="20"/>
      <c r="O33" s="19"/>
      <c r="P33" s="19"/>
      <c r="R33" s="13" t="str">
        <f t="shared" si="10"/>
        <v/>
      </c>
      <c r="S33" s="20"/>
      <c r="T33" s="19"/>
      <c r="U33" s="19"/>
    </row>
    <row r="34" spans="1:21" ht="180" x14ac:dyDescent="0.2">
      <c r="A34" s="29" t="s">
        <v>59</v>
      </c>
      <c r="B34" s="29" t="s">
        <v>156</v>
      </c>
      <c r="C34" s="29" t="str">
        <f>IF(B34="Quality",'Risk Information '!$B$34,IF(B34="Environment",'Risk Information '!$B$35,IF(B34="WHS",'Risk Information '!$B$36,)))</f>
        <v>Work Health and Safety Act (QLD) 2013</v>
      </c>
      <c r="D34" s="19" t="s">
        <v>7</v>
      </c>
      <c r="E34" s="19" t="s">
        <v>14</v>
      </c>
      <c r="F34" s="13">
        <f t="shared" si="6"/>
        <v>15</v>
      </c>
      <c r="G34" s="59" t="str">
        <f>IF(F34&gt;15,'Risk Information '!$A$16,IF('Risk Register'!F34&gt;9,'Risk Information '!$A$17,IF('Risk Register'!F34&gt;4,'Risk Information '!$A$18,IF(OR(F34=0, F34=""), "N/A",'Risk Information '!$A$19))))</f>
        <v>Permission from high level management is permitted before work can proceed or further reduce risk.</v>
      </c>
      <c r="H34" s="5" t="s">
        <v>60</v>
      </c>
      <c r="I34" s="8" t="s">
        <v>9</v>
      </c>
      <c r="J34" s="8" t="s">
        <v>14</v>
      </c>
      <c r="K34" s="9">
        <f t="shared" si="7"/>
        <v>5</v>
      </c>
      <c r="L34" s="59" t="str">
        <f>IF(K34&gt;15,'Risk Matrix'!$C$30,IF('Risk Register'!K34&gt;9,'Risk Matrix'!$C$29,IF('Risk Register'!K34&gt;4,'Risk Matrix'!$C$28,IF(OR(K34=0, K34=""), "N/A",'Risk Matrix'!$C$27))))</f>
        <v>Management responsibility must be specified.  Policy and procedures must be documented.  Works cannot proceed without management oversight.  Records should be audited annually.</v>
      </c>
      <c r="M34" s="13" t="str">
        <f t="shared" si="8"/>
        <v>Yes</v>
      </c>
      <c r="N34" s="20"/>
      <c r="O34" s="19"/>
      <c r="P34" s="19"/>
      <c r="R34" s="13" t="str">
        <f t="shared" si="10"/>
        <v/>
      </c>
      <c r="S34" s="20"/>
      <c r="T34" s="19"/>
      <c r="U34" s="19"/>
    </row>
    <row r="35" spans="1:21" ht="180" x14ac:dyDescent="0.2">
      <c r="A35" s="29" t="s">
        <v>62</v>
      </c>
      <c r="B35" s="29" t="s">
        <v>156</v>
      </c>
      <c r="C35" s="29" t="str">
        <f>IF(B35="Quality",'Risk Information '!$B$34,IF(B35="Environment",'Risk Information '!$B$35,IF(B35="WHS",'Risk Information '!$B$36,)))</f>
        <v>Work Health and Safety Act (QLD) 2013</v>
      </c>
      <c r="D35" s="19" t="s">
        <v>8</v>
      </c>
      <c r="E35" s="19" t="s">
        <v>14</v>
      </c>
      <c r="F35" s="13">
        <f t="shared" si="6"/>
        <v>10</v>
      </c>
      <c r="G35" s="59" t="str">
        <f>IF(F35&gt;15,'Risk Information '!$A$16,IF('Risk Register'!F35&gt;9,'Risk Information '!$A$17,IF('Risk Register'!F35&gt;4,'Risk Information '!$A$18,IF(OR(F35=0, F35=""), "N/A",'Risk Information '!$A$19))))</f>
        <v>Permission from high level management is permitted before work can proceed or further reduce risk.</v>
      </c>
      <c r="H35" s="5" t="s">
        <v>61</v>
      </c>
      <c r="I35" s="8" t="s">
        <v>9</v>
      </c>
      <c r="J35" s="8" t="s">
        <v>14</v>
      </c>
      <c r="K35" s="9">
        <f t="shared" si="7"/>
        <v>5</v>
      </c>
      <c r="L35" s="59" t="str">
        <f>IF(K35&gt;15,'Risk Matrix'!$C$30,IF('Risk Register'!K35&gt;9,'Risk Matrix'!$C$29,IF('Risk Register'!K35&gt;4,'Risk Matrix'!$C$28,IF(OR(K35=0, K35=""), "N/A",'Risk Matrix'!$C$27))))</f>
        <v>Management responsibility must be specified.  Policy and procedures must be documented.  Works cannot proceed without management oversight.  Records should be audited annually.</v>
      </c>
      <c r="M35" s="13" t="str">
        <f t="shared" si="8"/>
        <v>Yes</v>
      </c>
      <c r="N35" s="20"/>
      <c r="O35" s="19"/>
      <c r="P35" s="19"/>
      <c r="R35" s="13" t="str">
        <f t="shared" si="10"/>
        <v/>
      </c>
      <c r="S35" s="20"/>
      <c r="T35" s="19"/>
      <c r="U35" s="19"/>
    </row>
    <row r="36" spans="1:21" ht="135" x14ac:dyDescent="0.2">
      <c r="A36" s="29" t="s">
        <v>63</v>
      </c>
      <c r="B36" s="29" t="s">
        <v>156</v>
      </c>
      <c r="C36" s="29" t="str">
        <f>IF(B36="Quality",'Risk Information '!$B$34,IF(B36="Environment",'Risk Information '!$B$35,IF(B36="WHS",'Risk Information '!$B$36,)))</f>
        <v>Work Health and Safety Act (QLD) 2013</v>
      </c>
      <c r="D36" s="19" t="s">
        <v>7</v>
      </c>
      <c r="E36" s="19" t="s">
        <v>15</v>
      </c>
      <c r="F36" s="13">
        <f t="shared" si="6"/>
        <v>12</v>
      </c>
      <c r="G36" s="59" t="str">
        <f>IF(F36&gt;15,'Risk Information '!$A$16,IF('Risk Register'!F36&gt;9,'Risk Information '!$A$17,IF('Risk Register'!F36&gt;4,'Risk Information '!$A$18,IF(OR(F36=0, F36=""), "N/A",'Risk Information '!$A$19))))</f>
        <v>Permission from high level management is permitted before work can proceed or further reduce risk.</v>
      </c>
      <c r="H36" s="5" t="s">
        <v>64</v>
      </c>
      <c r="I36" s="8" t="s">
        <v>9</v>
      </c>
      <c r="J36" s="8" t="s">
        <v>15</v>
      </c>
      <c r="K36" s="9">
        <f t="shared" si="7"/>
        <v>4</v>
      </c>
      <c r="L36" s="59" t="str">
        <f>IF(K36&gt;15,'Risk Matrix'!$C$30,IF('Risk Register'!K36&gt;9,'Risk Matrix'!$C$29,IF('Risk Register'!K36&gt;4,'Risk Matrix'!$C$28,IF(OR(K36=0, K36=""), "N/A",'Risk Matrix'!$C$27))))</f>
        <v>Managed by routine procedures.  Records should be audited annually.  Work may proceed without specific management oversight.</v>
      </c>
      <c r="M36" s="13" t="str">
        <f t="shared" si="8"/>
        <v>Yes</v>
      </c>
      <c r="N36" s="20"/>
      <c r="O36" s="19"/>
      <c r="P36" s="19"/>
      <c r="R36" s="13" t="str">
        <f t="shared" si="10"/>
        <v/>
      </c>
      <c r="S36" s="20"/>
      <c r="T36" s="19"/>
      <c r="U36" s="19"/>
    </row>
    <row r="37" spans="1:21" ht="180" x14ac:dyDescent="0.2">
      <c r="A37" s="29" t="s">
        <v>65</v>
      </c>
      <c r="B37" s="29" t="s">
        <v>156</v>
      </c>
      <c r="C37" s="29" t="str">
        <f>IF(B37="Quality",'Risk Information '!$B$34,IF(B37="Environment",'Risk Information '!$B$35,IF(B37="WHS",'Risk Information '!$B$36,)))</f>
        <v>Work Health and Safety Act (QLD) 2013</v>
      </c>
      <c r="D37" s="19" t="s">
        <v>7</v>
      </c>
      <c r="E37" s="19" t="s">
        <v>14</v>
      </c>
      <c r="F37" s="13">
        <f t="shared" si="6"/>
        <v>15</v>
      </c>
      <c r="G37" s="59" t="str">
        <f>IF(F37&gt;15,'Risk Information '!$A$16,IF('Risk Register'!F37&gt;9,'Risk Information '!$A$17,IF('Risk Register'!F37&gt;4,'Risk Information '!$A$18,IF(OR(F37=0, F37=""), "N/A",'Risk Information '!$A$19))))</f>
        <v>Permission from high level management is permitted before work can proceed or further reduce risk.</v>
      </c>
      <c r="H37" s="10" t="s">
        <v>66</v>
      </c>
      <c r="I37" s="8" t="s">
        <v>9</v>
      </c>
      <c r="J37" s="8" t="s">
        <v>14</v>
      </c>
      <c r="K37" s="9">
        <f t="shared" si="7"/>
        <v>5</v>
      </c>
      <c r="L37" s="59" t="str">
        <f>IF(K37&gt;15,'Risk Matrix'!$C$30,IF('Risk Register'!K37&gt;9,'Risk Matrix'!$C$29,IF('Risk Register'!K37&gt;4,'Risk Matrix'!$C$28,IF(OR(K37=0, K37=""), "N/A",'Risk Matrix'!$C$27))))</f>
        <v>Management responsibility must be specified.  Policy and procedures must be documented.  Works cannot proceed without management oversight.  Records should be audited annually.</v>
      </c>
      <c r="M37" s="13" t="str">
        <f t="shared" si="8"/>
        <v>Yes</v>
      </c>
      <c r="N37" s="20"/>
      <c r="O37" s="19"/>
      <c r="P37" s="19"/>
      <c r="R37" s="13" t="str">
        <f t="shared" si="10"/>
        <v/>
      </c>
      <c r="S37" s="20"/>
      <c r="T37" s="19"/>
      <c r="U37" s="19"/>
    </row>
    <row r="38" spans="1:21" ht="180" x14ac:dyDescent="0.2">
      <c r="A38" s="29" t="s">
        <v>67</v>
      </c>
      <c r="B38" s="29" t="s">
        <v>156</v>
      </c>
      <c r="C38" s="29" t="str">
        <f>IF(B38="Quality",'Risk Information '!$B$34,IF(B38="Environment",'Risk Information '!$B$35,IF(B38="WHS",'Risk Information '!$B$36,)))</f>
        <v>Work Health and Safety Act (QLD) 2013</v>
      </c>
      <c r="D38" s="19" t="s">
        <v>6</v>
      </c>
      <c r="E38" s="19" t="s">
        <v>14</v>
      </c>
      <c r="F38" s="13">
        <f t="shared" si="6"/>
        <v>20</v>
      </c>
      <c r="G38" s="59" t="str">
        <f>IF(F38&gt;15,'Risk Information '!$A$16,IF('Risk Register'!F38&gt;9,'Risk Information '!$A$17,IF('Risk Register'!F38&gt;4,'Risk Information '!$A$18,IF(OR(F38=0, F38=""), "N/A",'Risk Information '!$A$19))))</f>
        <v>Work is unable to proceed until the risk can be reduced.</v>
      </c>
      <c r="H38" s="10" t="s">
        <v>68</v>
      </c>
      <c r="I38" s="8" t="s">
        <v>9</v>
      </c>
      <c r="J38" s="8" t="s">
        <v>14</v>
      </c>
      <c r="K38" s="9">
        <f t="shared" si="7"/>
        <v>5</v>
      </c>
      <c r="L38" s="59" t="str">
        <f>IF(K38&gt;15,'Risk Matrix'!$C$30,IF('Risk Register'!K38&gt;9,'Risk Matrix'!$C$29,IF('Risk Register'!K38&gt;4,'Risk Matrix'!$C$28,IF(OR(K38=0, K38=""), "N/A",'Risk Matrix'!$C$27))))</f>
        <v>Management responsibility must be specified.  Policy and procedures must be documented.  Works cannot proceed without management oversight.  Records should be audited annually.</v>
      </c>
      <c r="M38" s="13" t="str">
        <f t="shared" si="8"/>
        <v>Yes</v>
      </c>
      <c r="N38" s="20"/>
      <c r="O38" s="19"/>
      <c r="P38" s="19"/>
      <c r="R38" s="13" t="str">
        <f t="shared" si="10"/>
        <v/>
      </c>
      <c r="S38" s="20"/>
      <c r="T38" s="19"/>
      <c r="U38" s="19"/>
    </row>
    <row r="39" spans="1:21" ht="180" x14ac:dyDescent="0.2">
      <c r="A39" s="29" t="s">
        <v>307</v>
      </c>
      <c r="B39" s="29" t="s">
        <v>156</v>
      </c>
      <c r="C39" s="29" t="str">
        <f>IF(B39="Quality",'Risk Information '!$B$34,IF(B39="Environment",'Risk Information '!$B$35,IF(B39="WHS",'Risk Information '!$B$36,)))</f>
        <v>Work Health and Safety Act (QLD) 2013</v>
      </c>
      <c r="D39" s="19" t="s">
        <v>6</v>
      </c>
      <c r="E39" s="19" t="s">
        <v>14</v>
      </c>
      <c r="F39" s="13">
        <f t="shared" si="6"/>
        <v>20</v>
      </c>
      <c r="G39" s="59" t="str">
        <f>IF(F39&gt;15,'Risk Information '!$A$16,IF('Risk Register'!F39&gt;9,'Risk Information '!$A$17,IF('Risk Register'!F39&gt;4,'Risk Information '!$A$18,IF(OR(F39=0, F39=""), "N/A",'Risk Information '!$A$19))))</f>
        <v>Work is unable to proceed until the risk can be reduced.</v>
      </c>
      <c r="H39" s="10" t="s">
        <v>308</v>
      </c>
      <c r="I39" s="8" t="s">
        <v>9</v>
      </c>
      <c r="J39" s="8" t="s">
        <v>14</v>
      </c>
      <c r="K39" s="9">
        <f t="shared" si="7"/>
        <v>5</v>
      </c>
      <c r="L39" s="59" t="str">
        <f>IF(K39&gt;15,'Risk Matrix'!$C$30,IF('Risk Register'!K39&gt;9,'Risk Matrix'!$C$29,IF('Risk Register'!K39&gt;4,'Risk Matrix'!$C$28,IF(OR(K39=0, K39=""), "N/A",'Risk Matrix'!$C$27))))</f>
        <v>Management responsibility must be specified.  Policy and procedures must be documented.  Works cannot proceed without management oversight.  Records should be audited annually.</v>
      </c>
      <c r="M39" s="13" t="str">
        <f t="shared" si="8"/>
        <v>Yes</v>
      </c>
      <c r="N39" s="20"/>
      <c r="O39" s="19"/>
      <c r="P39" s="19"/>
      <c r="R39" s="13" t="str">
        <f t="shared" ref="R39:R53" si="11">IF(F101="","N/A",IF(F101&gt;3,"Yes","No"))</f>
        <v>N/A</v>
      </c>
      <c r="S39" s="20"/>
      <c r="T39" s="19"/>
      <c r="U39" s="19"/>
    </row>
    <row r="40" spans="1:21" ht="135" x14ac:dyDescent="0.2">
      <c r="A40" s="29" t="s">
        <v>70</v>
      </c>
      <c r="B40" s="29" t="s">
        <v>156</v>
      </c>
      <c r="C40" s="29" t="str">
        <f>IF(B40="Quality",'Risk Information '!$B$34,IF(B40="Environment",'Risk Information '!$B$35,IF(B40="WHS",'Risk Information '!$B$36,)))</f>
        <v>Work Health and Safety Act (QLD) 2013</v>
      </c>
      <c r="D40" s="19" t="s">
        <v>6</v>
      </c>
      <c r="E40" s="19" t="s">
        <v>15</v>
      </c>
      <c r="F40" s="13">
        <f t="shared" si="6"/>
        <v>16</v>
      </c>
      <c r="G40" s="59" t="str">
        <f>IF(F40&gt;15,'Risk Information '!$A$16,IF('Risk Register'!F40&gt;9,'Risk Information '!$A$17,IF('Risk Register'!F40&gt;4,'Risk Information '!$A$18,IF(OR(F40=0, F40=""), "N/A",'Risk Information '!$A$19))))</f>
        <v>Work is unable to proceed until the risk can be reduced.</v>
      </c>
      <c r="H40" s="10" t="s">
        <v>309</v>
      </c>
      <c r="I40" s="8" t="s">
        <v>9</v>
      </c>
      <c r="J40" s="8" t="s">
        <v>15</v>
      </c>
      <c r="K40" s="9">
        <f t="shared" si="7"/>
        <v>4</v>
      </c>
      <c r="L40" s="59" t="str">
        <f>IF(K40&gt;15,'Risk Matrix'!$C$30,IF('Risk Register'!K40&gt;9,'Risk Matrix'!$C$29,IF('Risk Register'!K40&gt;4,'Risk Matrix'!$C$28,IF(OR(K40=0, K40=""), "N/A",'Risk Matrix'!$C$27))))</f>
        <v>Managed by routine procedures.  Records should be audited annually.  Work may proceed without specific management oversight.</v>
      </c>
      <c r="M40" s="13" t="str">
        <f t="shared" si="8"/>
        <v>Yes</v>
      </c>
      <c r="N40" s="20"/>
      <c r="O40" s="19"/>
      <c r="P40" s="12"/>
      <c r="R40" s="13" t="str">
        <f t="shared" si="11"/>
        <v>N/A</v>
      </c>
      <c r="S40" s="20"/>
      <c r="T40" s="19"/>
      <c r="U40" s="19"/>
    </row>
    <row r="41" spans="1:21" ht="135" x14ac:dyDescent="0.2">
      <c r="A41" s="29" t="s">
        <v>72</v>
      </c>
      <c r="B41" s="29" t="s">
        <v>156</v>
      </c>
      <c r="C41" s="29" t="str">
        <f>IF(B41="Quality",'Risk Information '!$B$34,IF(B41="Environment",'Risk Information '!$B$35,IF(B41="WHS",'Risk Information '!$B$36,)))</f>
        <v>Work Health and Safety Act (QLD) 2013</v>
      </c>
      <c r="D41" s="19" t="s">
        <v>7</v>
      </c>
      <c r="E41" s="19" t="s">
        <v>14</v>
      </c>
      <c r="F41" s="13">
        <f t="shared" si="6"/>
        <v>15</v>
      </c>
      <c r="G41" s="59" t="str">
        <f>IF(F41&gt;15,'Risk Information '!$A$16,IF('Risk Register'!F41&gt;9,'Risk Information '!$A$17,IF('Risk Register'!F41&gt;4,'Risk Information '!$A$18,IF(OR(F41=0, F41=""), "N/A",'Risk Information '!$A$19))))</f>
        <v>Permission from high level management is permitted before work can proceed or further reduce risk.</v>
      </c>
      <c r="H41" s="10" t="s">
        <v>310</v>
      </c>
      <c r="I41" s="8" t="s">
        <v>9</v>
      </c>
      <c r="J41" s="8" t="s">
        <v>15</v>
      </c>
      <c r="K41" s="9">
        <f t="shared" si="7"/>
        <v>4</v>
      </c>
      <c r="L41" s="59" t="str">
        <f>IF(K41&gt;15,'Risk Matrix'!$C$30,IF('Risk Register'!K41&gt;9,'Risk Matrix'!$C$29,IF('Risk Register'!K41&gt;4,'Risk Matrix'!$C$28,IF(OR(K41=0, K41=""), "N/A",'Risk Matrix'!$C$27))))</f>
        <v>Managed by routine procedures.  Records should be audited annually.  Work may proceed without specific management oversight.</v>
      </c>
      <c r="M41" s="13" t="str">
        <f t="shared" si="8"/>
        <v>Yes</v>
      </c>
      <c r="N41" s="20"/>
      <c r="O41" s="12"/>
      <c r="P41" s="12"/>
      <c r="R41" s="13" t="str">
        <f t="shared" si="11"/>
        <v>N/A</v>
      </c>
      <c r="S41" s="20"/>
      <c r="T41" s="19"/>
      <c r="U41" s="12"/>
    </row>
    <row r="42" spans="1:21" ht="135" x14ac:dyDescent="0.2">
      <c r="A42" s="29" t="s">
        <v>311</v>
      </c>
      <c r="B42" s="29" t="s">
        <v>156</v>
      </c>
      <c r="C42" s="29" t="str">
        <f>IF(B42="Quality",'Risk Information '!$B$34,IF(B42="Environment",'Risk Information '!$B$35,IF(B42="WHS",'Risk Information '!$B$36,)))</f>
        <v>Work Health and Safety Act (QLD) 2013</v>
      </c>
      <c r="D42" s="19" t="s">
        <v>8</v>
      </c>
      <c r="E42" s="19" t="s">
        <v>14</v>
      </c>
      <c r="F42" s="13">
        <f t="shared" si="6"/>
        <v>10</v>
      </c>
      <c r="G42" s="59" t="str">
        <f>IF(F42&gt;15,'Risk Information '!$A$16,IF('Risk Register'!F42&gt;9,'Risk Information '!$A$17,IF('Risk Register'!F42&gt;4,'Risk Information '!$A$18,IF(OR(F42=0, F42=""), "N/A",'Risk Information '!$A$19))))</f>
        <v>Permission from high level management is permitted before work can proceed or further reduce risk.</v>
      </c>
      <c r="H42" s="10" t="s">
        <v>73</v>
      </c>
      <c r="I42" s="8" t="s">
        <v>9</v>
      </c>
      <c r="J42" s="8" t="s">
        <v>15</v>
      </c>
      <c r="K42" s="9">
        <f t="shared" si="7"/>
        <v>4</v>
      </c>
      <c r="L42" s="59" t="str">
        <f>IF(K42&gt;15,'Risk Matrix'!$C$30,IF('Risk Register'!K42&gt;9,'Risk Matrix'!$C$29,IF('Risk Register'!K42&gt;4,'Risk Matrix'!$C$28,IF(OR(K42=0, K42=""), "N/A",'Risk Matrix'!$C$27))))</f>
        <v>Managed by routine procedures.  Records should be audited annually.  Work may proceed without specific management oversight.</v>
      </c>
      <c r="M42" s="13" t="str">
        <f t="shared" si="8"/>
        <v>Yes</v>
      </c>
      <c r="N42" s="20"/>
      <c r="O42" s="12"/>
      <c r="P42" s="12"/>
      <c r="R42" s="13" t="str">
        <f t="shared" si="11"/>
        <v>N/A</v>
      </c>
      <c r="S42" s="20"/>
      <c r="T42" s="12"/>
      <c r="U42" s="12"/>
    </row>
    <row r="43" spans="1:21" ht="180" x14ac:dyDescent="0.2">
      <c r="A43" s="29" t="s">
        <v>75</v>
      </c>
      <c r="B43" s="29" t="s">
        <v>156</v>
      </c>
      <c r="C43" s="29" t="str">
        <f>IF(B43="Quality",'Risk Information '!$B$34,IF(B43="Environment",'Risk Information '!$B$35,IF(B43="WHS",'Risk Information '!$B$36,)))</f>
        <v>Work Health and Safety Act (QLD) 2013</v>
      </c>
      <c r="D43" s="19" t="s">
        <v>7</v>
      </c>
      <c r="E43" s="19" t="s">
        <v>14</v>
      </c>
      <c r="F43" s="13">
        <f t="shared" si="6"/>
        <v>15</v>
      </c>
      <c r="G43" s="59" t="str">
        <f>IF(F43&gt;15,'Risk Information '!$A$16,IF('Risk Register'!F43&gt;9,'Risk Information '!$A$17,IF('Risk Register'!F43&gt;4,'Risk Information '!$A$18,IF(OR(F43=0, F43=""), "N/A",'Risk Information '!$A$19))))</f>
        <v>Permission from high level management is permitted before work can proceed or further reduce risk.</v>
      </c>
      <c r="H43" s="10" t="s">
        <v>76</v>
      </c>
      <c r="I43" s="8" t="s">
        <v>9</v>
      </c>
      <c r="J43" s="8" t="s">
        <v>14</v>
      </c>
      <c r="K43" s="9">
        <f t="shared" si="7"/>
        <v>5</v>
      </c>
      <c r="L43" s="59" t="str">
        <f>IF(K43&gt;15,'Risk Matrix'!$C$30,IF('Risk Register'!K43&gt;9,'Risk Matrix'!$C$29,IF('Risk Register'!K43&gt;4,'Risk Matrix'!$C$28,IF(OR(K43=0, K43=""), "N/A",'Risk Matrix'!$C$27))))</f>
        <v>Management responsibility must be specified.  Policy and procedures must be documented.  Works cannot proceed without management oversight.  Records should be audited annually.</v>
      </c>
      <c r="M43" s="13" t="str">
        <f t="shared" si="8"/>
        <v>Yes</v>
      </c>
      <c r="N43" s="20"/>
      <c r="O43" s="12"/>
      <c r="P43" s="12"/>
      <c r="R43" s="13" t="str">
        <f t="shared" si="11"/>
        <v>N/A</v>
      </c>
      <c r="S43" s="20"/>
      <c r="T43" s="12"/>
      <c r="U43" s="12"/>
    </row>
    <row r="44" spans="1:21" ht="135" x14ac:dyDescent="0.2">
      <c r="A44" s="29" t="s">
        <v>77</v>
      </c>
      <c r="B44" s="29" t="s">
        <v>156</v>
      </c>
      <c r="C44" s="29" t="str">
        <f>IF(B44="Quality",'Risk Information '!$B$34,IF(B44="Environment",'Risk Information '!$B$35,IF(B44="WHS",'Risk Information '!$B$36,)))</f>
        <v>Work Health and Safety Act (QLD) 2013</v>
      </c>
      <c r="D44" s="19" t="s">
        <v>7</v>
      </c>
      <c r="E44" s="19" t="s">
        <v>14</v>
      </c>
      <c r="F44" s="13">
        <f t="shared" si="6"/>
        <v>15</v>
      </c>
      <c r="G44" s="59" t="str">
        <f>IF(F44&gt;15,'Risk Information '!$A$16,IF('Risk Register'!F44&gt;9,'Risk Information '!$A$17,IF('Risk Register'!F44&gt;4,'Risk Information '!$A$18,IF(OR(F44=0, F44=""), "N/A",'Risk Information '!$A$19))))</f>
        <v>Permission from high level management is permitted before work can proceed or further reduce risk.</v>
      </c>
      <c r="H44" s="10" t="s">
        <v>78</v>
      </c>
      <c r="I44" s="8" t="s">
        <v>9</v>
      </c>
      <c r="J44" s="8" t="s">
        <v>15</v>
      </c>
      <c r="K44" s="9">
        <f t="shared" si="7"/>
        <v>4</v>
      </c>
      <c r="L44" s="59" t="str">
        <f>IF(K44&gt;15,'Risk Matrix'!$C$30,IF('Risk Register'!K44&gt;9,'Risk Matrix'!$C$29,IF('Risk Register'!K44&gt;4,'Risk Matrix'!$C$28,IF(OR(K44=0, K44=""), "N/A",'Risk Matrix'!$C$27))))</f>
        <v>Managed by routine procedures.  Records should be audited annually.  Work may proceed without specific management oversight.</v>
      </c>
      <c r="M44" s="13" t="str">
        <f t="shared" si="8"/>
        <v>Yes</v>
      </c>
      <c r="N44" s="20"/>
      <c r="O44" s="12"/>
      <c r="P44" s="12"/>
      <c r="R44" s="13" t="str">
        <f t="shared" si="11"/>
        <v>N/A</v>
      </c>
      <c r="S44" s="20"/>
      <c r="T44" s="12"/>
      <c r="U44" s="12"/>
    </row>
    <row r="45" spans="1:21" ht="180" x14ac:dyDescent="0.2">
      <c r="A45" s="29" t="s">
        <v>79</v>
      </c>
      <c r="B45" s="29" t="s">
        <v>156</v>
      </c>
      <c r="C45" s="29" t="str">
        <f>IF(B45="Quality",'Risk Information '!$B$34,IF(B45="Environment",'Risk Information '!$B$35,IF(B45="WHS",'Risk Information '!$B$36,)))</f>
        <v>Work Health and Safety Act (QLD) 2013</v>
      </c>
      <c r="D45" s="19" t="s">
        <v>7</v>
      </c>
      <c r="E45" s="19" t="s">
        <v>15</v>
      </c>
      <c r="F45" s="13">
        <f t="shared" si="6"/>
        <v>12</v>
      </c>
      <c r="G45" s="59" t="str">
        <f>IF(F45&gt;15,'Risk Information '!$A$16,IF('Risk Register'!F45&gt;9,'Risk Information '!$A$17,IF('Risk Register'!F45&gt;4,'Risk Information '!$A$18,IF(OR(F45=0, F45=""), "N/A",'Risk Information '!$A$19))))</f>
        <v>Permission from high level management is permitted before work can proceed or further reduce risk.</v>
      </c>
      <c r="H45" s="11" t="s">
        <v>80</v>
      </c>
      <c r="I45" s="8" t="s">
        <v>8</v>
      </c>
      <c r="J45" s="8" t="s">
        <v>15</v>
      </c>
      <c r="K45" s="9">
        <f t="shared" si="7"/>
        <v>8</v>
      </c>
      <c r="L45" s="59" t="str">
        <f>IF(K45&gt;15,'Risk Matrix'!$C$30,IF('Risk Register'!K45&gt;9,'Risk Matrix'!$C$29,IF('Risk Register'!K45&gt;4,'Risk Matrix'!$C$28,IF(OR(K45=0, K45=""), "N/A",'Risk Matrix'!$C$27))))</f>
        <v>Management responsibility must be specified.  Policy and procedures must be documented.  Works cannot proceed without management oversight.  Records should be audited annually.</v>
      </c>
      <c r="M45" s="13" t="str">
        <f t="shared" si="8"/>
        <v>Yes</v>
      </c>
      <c r="N45" s="12"/>
      <c r="O45" s="12"/>
      <c r="P45" s="12"/>
      <c r="R45" s="13" t="str">
        <f t="shared" si="11"/>
        <v>N/A</v>
      </c>
      <c r="S45" s="20"/>
      <c r="T45" s="12"/>
      <c r="U45" s="12"/>
    </row>
    <row r="46" spans="1:21" ht="135" x14ac:dyDescent="0.2">
      <c r="A46" s="29" t="s">
        <v>81</v>
      </c>
      <c r="B46" s="29" t="s">
        <v>156</v>
      </c>
      <c r="C46" s="29" t="str">
        <f>IF(B46="Quality",'Risk Information '!$B$34,IF(B46="Environment",'Risk Information '!$B$35,IF(B46="WHS",'Risk Information '!$B$36,)))</f>
        <v>Work Health and Safety Act (QLD) 2013</v>
      </c>
      <c r="D46" s="19" t="s">
        <v>7</v>
      </c>
      <c r="E46" s="19" t="s">
        <v>15</v>
      </c>
      <c r="F46" s="13">
        <f t="shared" si="6"/>
        <v>12</v>
      </c>
      <c r="G46" s="59" t="str">
        <f>IF(F46&gt;15,'Risk Information '!$A$16,IF('Risk Register'!F46&gt;9,'Risk Information '!$A$17,IF('Risk Register'!F46&gt;4,'Risk Information '!$A$18,IF(OR(F46=0, F46=""), "N/A",'Risk Information '!$A$19))))</f>
        <v>Permission from high level management is permitted before work can proceed or further reduce risk.</v>
      </c>
      <c r="H46" s="11" t="s">
        <v>90</v>
      </c>
      <c r="I46" s="8" t="s">
        <v>9</v>
      </c>
      <c r="J46" s="8" t="s">
        <v>15</v>
      </c>
      <c r="K46" s="9">
        <f t="shared" si="7"/>
        <v>4</v>
      </c>
      <c r="L46" s="59" t="str">
        <f>IF(K46&gt;15,'Risk Matrix'!$C$30,IF('Risk Register'!K46&gt;9,'Risk Matrix'!$C$29,IF('Risk Register'!K46&gt;4,'Risk Matrix'!$C$28,IF(OR(K46=0, K46=""), "N/A",'Risk Matrix'!$C$27))))</f>
        <v>Managed by routine procedures.  Records should be audited annually.  Work may proceed without specific management oversight.</v>
      </c>
      <c r="M46" s="13" t="str">
        <f t="shared" si="8"/>
        <v>Yes</v>
      </c>
      <c r="N46" s="12"/>
      <c r="O46" s="12"/>
      <c r="P46" s="12"/>
      <c r="R46" s="13" t="str">
        <f t="shared" si="11"/>
        <v>N/A</v>
      </c>
      <c r="S46" s="12"/>
      <c r="T46" s="12"/>
      <c r="U46" s="12"/>
    </row>
    <row r="47" spans="1:21" ht="135" x14ac:dyDescent="0.2">
      <c r="A47" s="29" t="s">
        <v>82</v>
      </c>
      <c r="B47" s="29" t="s">
        <v>156</v>
      </c>
      <c r="C47" s="29" t="str">
        <f>IF(B47="Quality",'Risk Information '!$B$34,IF(B47="Environment",'Risk Information '!$B$35,IF(B47="WHS",'Risk Information '!$B$36,)))</f>
        <v>Work Health and Safety Act (QLD) 2013</v>
      </c>
      <c r="D47" s="19" t="s">
        <v>7</v>
      </c>
      <c r="E47" s="19" t="s">
        <v>16</v>
      </c>
      <c r="F47" s="13">
        <f t="shared" si="6"/>
        <v>9</v>
      </c>
      <c r="G47" s="59" t="str">
        <f>IF(F47&gt;15,'Risk Information '!$A$16,IF('Risk Register'!F47&gt;9,'Risk Information '!$A$17,IF('Risk Register'!F47&gt;4,'Risk Information '!$A$18,IF(OR(F47=0, F47=""), "N/A",'Risk Information '!$A$19))))</f>
        <v>Permission from worker in charge is permitted before work can proceed.</v>
      </c>
      <c r="H47" s="11" t="s">
        <v>83</v>
      </c>
      <c r="I47" s="8" t="s">
        <v>9</v>
      </c>
      <c r="J47" s="8" t="s">
        <v>17</v>
      </c>
      <c r="K47" s="9">
        <f t="shared" si="7"/>
        <v>2</v>
      </c>
      <c r="L47" s="59" t="str">
        <f>IF(K47&gt;15,'Risk Matrix'!$C$30,IF('Risk Register'!K47&gt;9,'Risk Matrix'!$C$29,IF('Risk Register'!K47&gt;4,'Risk Matrix'!$C$28,IF(OR(K47=0, K47=""), "N/A",'Risk Matrix'!$C$27))))</f>
        <v>Managed by routine procedures.  Records should be audited annually.  Work may proceed without specific management oversight.</v>
      </c>
      <c r="M47" s="13" t="str">
        <f t="shared" si="8"/>
        <v>Yes</v>
      </c>
      <c r="N47" s="12"/>
      <c r="O47" s="12"/>
      <c r="P47" s="12"/>
      <c r="R47" s="13" t="str">
        <f t="shared" si="11"/>
        <v>N/A</v>
      </c>
      <c r="S47" s="12"/>
      <c r="T47" s="12"/>
      <c r="U47" s="12"/>
    </row>
    <row r="48" spans="1:21" ht="112.5" x14ac:dyDescent="0.2">
      <c r="A48" s="29" t="s">
        <v>84</v>
      </c>
      <c r="B48" s="29" t="s">
        <v>156</v>
      </c>
      <c r="C48" s="29" t="str">
        <f>IF(B48="Quality",'Risk Information '!$B$34,IF(B48="Environment",'Risk Information '!$B$35,IF(B48="WHS",'Risk Information '!$B$36,)))</f>
        <v>Work Health and Safety Act (QLD) 2013</v>
      </c>
      <c r="D48" s="19" t="s">
        <v>7</v>
      </c>
      <c r="E48" s="19" t="s">
        <v>16</v>
      </c>
      <c r="F48" s="13">
        <f t="shared" si="6"/>
        <v>9</v>
      </c>
      <c r="G48" s="59" t="str">
        <f>IF(F48&gt;15,'Risk Information '!$A$16,IF('Risk Register'!F48&gt;9,'Risk Information '!$A$17,IF('Risk Register'!F48&gt;4,'Risk Information '!$A$18,IF(OR(F48=0, F48=""), "N/A",'Risk Information '!$A$19))))</f>
        <v>Permission from worker in charge is permitted before work can proceed.</v>
      </c>
      <c r="H48" s="11" t="s">
        <v>85</v>
      </c>
      <c r="I48" s="8" t="s">
        <v>9</v>
      </c>
      <c r="J48" s="8" t="s">
        <v>16</v>
      </c>
      <c r="K48" s="9">
        <f t="shared" si="7"/>
        <v>3</v>
      </c>
      <c r="L48" s="59" t="str">
        <f>IF(K48&gt;15,'Risk Matrix'!$C$30,IF('Risk Register'!K48&gt;9,'Risk Matrix'!$C$29,IF('Risk Register'!K48&gt;4,'Risk Matrix'!$C$28,IF(OR(K48=0, K48=""), "N/A",'Risk Matrix'!$C$27))))</f>
        <v>Managed by routine procedures.  Records should be audited annually.  Work may proceed without specific management oversight.</v>
      </c>
      <c r="M48" s="13" t="str">
        <f t="shared" si="8"/>
        <v>Yes</v>
      </c>
      <c r="N48" s="12"/>
      <c r="O48" s="12"/>
      <c r="P48" s="12"/>
      <c r="R48" s="13" t="str">
        <f t="shared" si="11"/>
        <v>N/A</v>
      </c>
      <c r="S48" s="12"/>
      <c r="T48" s="12"/>
      <c r="U48" s="12"/>
    </row>
    <row r="49" spans="1:21" ht="180" x14ac:dyDescent="0.2">
      <c r="A49" s="29" t="s">
        <v>88</v>
      </c>
      <c r="B49" s="29" t="s">
        <v>156</v>
      </c>
      <c r="C49" s="29" t="str">
        <f>IF(B49="Quality",'Risk Information '!$B$34,IF(B49="Environment",'Risk Information '!$B$35,IF(B49="WHS",'Risk Information '!$B$36,)))</f>
        <v>Work Health and Safety Act (QLD) 2013</v>
      </c>
      <c r="D49" s="19" t="s">
        <v>7</v>
      </c>
      <c r="E49" s="19" t="s">
        <v>14</v>
      </c>
      <c r="F49" s="13">
        <f t="shared" si="6"/>
        <v>15</v>
      </c>
      <c r="G49" s="59" t="str">
        <f>IF(F49&gt;15,'Risk Information '!$A$16,IF('Risk Register'!F49&gt;9,'Risk Information '!$A$17,IF('Risk Register'!F49&gt;4,'Risk Information '!$A$18,IF(OR(F49=0, F49=""), "N/A",'Risk Information '!$A$19))))</f>
        <v>Permission from high level management is permitted before work can proceed or further reduce risk.</v>
      </c>
      <c r="H49" s="10" t="s">
        <v>87</v>
      </c>
      <c r="I49" s="8" t="s">
        <v>9</v>
      </c>
      <c r="J49" s="8" t="s">
        <v>14</v>
      </c>
      <c r="K49" s="9">
        <f t="shared" si="7"/>
        <v>5</v>
      </c>
      <c r="L49" s="59" t="str">
        <f>IF(K49&gt;15,'Risk Matrix'!$C$30,IF('Risk Register'!K49&gt;9,'Risk Matrix'!$C$29,IF('Risk Register'!K49&gt;4,'Risk Matrix'!$C$28,IF(OR(K49=0, K49=""), "N/A",'Risk Matrix'!$C$27))))</f>
        <v>Management responsibility must be specified.  Policy and procedures must be documented.  Works cannot proceed without management oversight.  Records should be audited annually.</v>
      </c>
      <c r="M49" s="13" t="str">
        <f t="shared" si="8"/>
        <v>Yes</v>
      </c>
      <c r="N49" s="12"/>
      <c r="O49" s="12"/>
      <c r="P49" s="12"/>
      <c r="R49" s="13" t="str">
        <f t="shared" si="11"/>
        <v>N/A</v>
      </c>
      <c r="S49" s="12"/>
      <c r="T49" s="12"/>
      <c r="U49" s="12"/>
    </row>
    <row r="50" spans="1:21" ht="135" x14ac:dyDescent="0.2">
      <c r="A50" s="29" t="s">
        <v>91</v>
      </c>
      <c r="B50" s="29" t="s">
        <v>156</v>
      </c>
      <c r="C50" s="29" t="str">
        <f>IF(B50="Quality",'Risk Information '!$B$34,IF(B50="Environment",'Risk Information '!$B$35,IF(B50="WHS",'Risk Information '!$B$36,)))</f>
        <v>Work Health and Safety Act (QLD) 2013</v>
      </c>
      <c r="D50" s="19" t="s">
        <v>7</v>
      </c>
      <c r="E50" s="19" t="s">
        <v>15</v>
      </c>
      <c r="F50" s="13">
        <f t="shared" si="6"/>
        <v>12</v>
      </c>
      <c r="G50" s="59" t="str">
        <f>IF(F50&gt;15,'Risk Information '!$A$16,IF('Risk Register'!F50&gt;9,'Risk Information '!$A$17,IF('Risk Register'!F50&gt;4,'Risk Information '!$A$18,IF(OR(F50=0, F50=""), "N/A",'Risk Information '!$A$19))))</f>
        <v>Permission from high level management is permitted before work can proceed or further reduce risk.</v>
      </c>
      <c r="H50" s="11" t="s">
        <v>89</v>
      </c>
      <c r="I50" s="8" t="s">
        <v>9</v>
      </c>
      <c r="J50" s="8" t="s">
        <v>15</v>
      </c>
      <c r="K50" s="9">
        <f t="shared" si="7"/>
        <v>4</v>
      </c>
      <c r="L50" s="59" t="str">
        <f>IF(K50&gt;15,'Risk Matrix'!$C$30,IF('Risk Register'!K50&gt;9,'Risk Matrix'!$C$29,IF('Risk Register'!K50&gt;4,'Risk Matrix'!$C$28,IF(OR(K50=0, K50=""), "N/A",'Risk Matrix'!$C$27))))</f>
        <v>Managed by routine procedures.  Records should be audited annually.  Work may proceed without specific management oversight.</v>
      </c>
      <c r="M50" s="13" t="str">
        <f t="shared" si="8"/>
        <v>Yes</v>
      </c>
      <c r="N50" s="12"/>
      <c r="O50" s="12"/>
      <c r="P50" s="12"/>
      <c r="R50" s="13" t="str">
        <f t="shared" si="11"/>
        <v>N/A</v>
      </c>
      <c r="S50" s="12"/>
      <c r="T50" s="12"/>
      <c r="U50" s="12"/>
    </row>
    <row r="51" spans="1:21" ht="135" x14ac:dyDescent="0.2">
      <c r="A51" s="29" t="s">
        <v>92</v>
      </c>
      <c r="B51" s="29" t="s">
        <v>156</v>
      </c>
      <c r="C51" s="29" t="str">
        <f>IF(B51="Quality",'Risk Information '!$B$34,IF(B51="Environment",'Risk Information '!$B$35,IF(B51="WHS",'Risk Information '!$B$36,)))</f>
        <v>Work Health and Safety Act (QLD) 2013</v>
      </c>
      <c r="D51" s="19" t="s">
        <v>6</v>
      </c>
      <c r="E51" s="19" t="s">
        <v>17</v>
      </c>
      <c r="F51" s="13">
        <f t="shared" si="6"/>
        <v>8</v>
      </c>
      <c r="G51" s="59" t="str">
        <f>IF(F51&gt;15,'Risk Information '!$A$16,IF('Risk Register'!F51&gt;9,'Risk Information '!$A$17,IF('Risk Register'!F51&gt;4,'Risk Information '!$A$18,IF(OR(F51=0, F51=""), "N/A",'Risk Information '!$A$19))))</f>
        <v>Permission from worker in charge is permitted before work can proceed.</v>
      </c>
      <c r="H51" s="11" t="s">
        <v>93</v>
      </c>
      <c r="I51" s="8" t="s">
        <v>9</v>
      </c>
      <c r="J51" s="8" t="s">
        <v>17</v>
      </c>
      <c r="K51" s="9">
        <f t="shared" si="7"/>
        <v>2</v>
      </c>
      <c r="L51" s="59" t="str">
        <f>IF(K51&gt;15,'Risk Matrix'!$C$30,IF('Risk Register'!K51&gt;9,'Risk Matrix'!$C$29,IF('Risk Register'!K51&gt;4,'Risk Matrix'!$C$28,IF(OR(K51=0, K51=""), "N/A",'Risk Matrix'!$C$27))))</f>
        <v>Managed by routine procedures.  Records should be audited annually.  Work may proceed without specific management oversight.</v>
      </c>
      <c r="M51" s="13" t="str">
        <f t="shared" si="8"/>
        <v>Yes</v>
      </c>
      <c r="N51" s="12"/>
      <c r="O51" s="12"/>
      <c r="P51" s="12"/>
      <c r="R51" s="13" t="str">
        <f t="shared" si="11"/>
        <v>N/A</v>
      </c>
      <c r="S51" s="12"/>
      <c r="T51" s="12"/>
      <c r="U51" s="12"/>
    </row>
    <row r="52" spans="1:21" ht="135" x14ac:dyDescent="0.2">
      <c r="A52" s="29" t="s">
        <v>94</v>
      </c>
      <c r="B52" s="29" t="s">
        <v>156</v>
      </c>
      <c r="C52" s="29" t="str">
        <f>IF(B52="Quality",'Risk Information '!$B$34,IF(B52="Environment",'Risk Information '!$B$35,IF(B52="WHS",'Risk Information '!$B$36,)))</f>
        <v>Work Health and Safety Act (QLD) 2013</v>
      </c>
      <c r="D52" s="19" t="s">
        <v>7</v>
      </c>
      <c r="E52" s="19" t="s">
        <v>15</v>
      </c>
      <c r="F52" s="13">
        <f t="shared" si="6"/>
        <v>12</v>
      </c>
      <c r="G52" s="59" t="str">
        <f>IF(F52&gt;15,'Risk Information '!$A$16,IF('Risk Register'!F52&gt;9,'Risk Information '!$A$17,IF('Risk Register'!F52&gt;4,'Risk Information '!$A$18,IF(OR(F52=0, F52=""), "N/A",'Risk Information '!$A$19))))</f>
        <v>Permission from high level management is permitted before work can proceed or further reduce risk.</v>
      </c>
      <c r="H52" s="11" t="s">
        <v>95</v>
      </c>
      <c r="I52" s="8" t="s">
        <v>9</v>
      </c>
      <c r="J52" s="8" t="s">
        <v>15</v>
      </c>
      <c r="K52" s="9">
        <f t="shared" si="7"/>
        <v>4</v>
      </c>
      <c r="L52" s="59" t="str">
        <f>IF(K52&gt;15,'Risk Matrix'!$C$30,IF('Risk Register'!K52&gt;9,'Risk Matrix'!$C$29,IF('Risk Register'!K52&gt;4,'Risk Matrix'!$C$28,IF(OR(K52=0, K52=""), "N/A",'Risk Matrix'!$C$27))))</f>
        <v>Managed by routine procedures.  Records should be audited annually.  Work may proceed without specific management oversight.</v>
      </c>
      <c r="M52" s="13" t="str">
        <f t="shared" si="8"/>
        <v>Yes</v>
      </c>
      <c r="N52" s="12"/>
      <c r="O52" s="12"/>
      <c r="P52" s="12"/>
      <c r="R52" s="13" t="str">
        <f t="shared" si="11"/>
        <v>N/A</v>
      </c>
      <c r="S52" s="12"/>
      <c r="T52" s="12"/>
      <c r="U52" s="12"/>
    </row>
    <row r="53" spans="1:21" ht="409.5" x14ac:dyDescent="0.2">
      <c r="A53" s="29" t="s">
        <v>94</v>
      </c>
      <c r="B53" s="29" t="s">
        <v>156</v>
      </c>
      <c r="C53" s="29" t="str">
        <f>IF(B53="Quality",'Risk Information '!$B$34,IF(B53="Environment",'Risk Information '!$B$35,IF(B53="WHS",'Risk Information '!$B$36,)))</f>
        <v>Work Health and Safety Act (QLD) 2013</v>
      </c>
      <c r="D53" s="19" t="s">
        <v>8</v>
      </c>
      <c r="E53" s="19" t="s">
        <v>14</v>
      </c>
      <c r="F53" s="13">
        <f t="shared" si="6"/>
        <v>10</v>
      </c>
      <c r="G53" s="59" t="str">
        <f>IF(F53&gt;15,'Risk Information '!$A$16,IF('Risk Register'!F53&gt;9,'Risk Information '!$A$17,IF('Risk Register'!F53&gt;4,'Risk Information '!$A$18,IF(OR(F53=0, F53=""), "N/A",'Risk Information '!$A$19))))</f>
        <v>Permission from high level management is permitted before work can proceed or further reduce risk.</v>
      </c>
      <c r="H53" s="11" t="s">
        <v>95</v>
      </c>
      <c r="I53" s="8" t="s">
        <v>125</v>
      </c>
      <c r="J53" s="8" t="s">
        <v>124</v>
      </c>
      <c r="K53" s="9">
        <f t="shared" ref="K53:K63" si="12">IF(OR(ISBLANK(I53), ISBLANK(J53)),"",LEFT(I53,1)*LEFT(J53,1))</f>
        <v>10</v>
      </c>
      <c r="L53" s="59" t="str">
        <f>IF(K53&gt;15,'Risk Matrix'!$C$30,IF('Risk Register'!K53&gt;9,'Risk Matrix'!$C$29,IF('Risk Register'!K53&gt;4,'Risk Matrix'!$C$28,IF(OR(K53=0, K53=""), "N/A",'Risk Matrix'!$C$27))))</f>
        <v xml:space="preserve">Management attention is needed. Control/preventive measures must be documented, monitored, measured and reviewed periodically for adequacy and compliance. Director must be directly involved and approve in writing for works to proceed.  Responsibility for monitoring and verification activities must be clearly defined and documented.  Corrective action (to be taken when unacceptable variations occur) must be documented.  Records must be maintained to demonstrate that the above requirements are being undertaken, and audited at least monthly. </v>
      </c>
      <c r="M53" s="13" t="str">
        <f t="shared" ref="M53" si="13">IF(F53="","",IF(F53&gt;3,"Yes","No"))</f>
        <v>Yes</v>
      </c>
      <c r="N53" s="12"/>
      <c r="O53" s="12"/>
      <c r="P53" s="12"/>
      <c r="R53" s="13" t="str">
        <f t="shared" si="11"/>
        <v>N/A</v>
      </c>
      <c r="S53" s="12"/>
      <c r="T53" s="12"/>
      <c r="U53" s="12"/>
    </row>
    <row r="54" spans="1:21" ht="180" x14ac:dyDescent="0.2">
      <c r="A54" s="56" t="s">
        <v>134</v>
      </c>
      <c r="B54" s="29" t="s">
        <v>157</v>
      </c>
      <c r="C54" s="29" t="str">
        <f>IF(B54="Quality",'Risk Information '!$B$34,IF(B54="Environment",'Risk Information '!$B$35,IF(B54="WHS",'Risk Information '!$B$36,)))</f>
        <v>AS/NZS ISO 14001:2016</v>
      </c>
      <c r="D54" s="19" t="s">
        <v>247</v>
      </c>
      <c r="E54" s="19" t="s">
        <v>154</v>
      </c>
      <c r="F54" s="13">
        <f t="shared" si="6"/>
        <v>5</v>
      </c>
      <c r="G54" s="59" t="str">
        <f>IF(F54&gt;15,'Risk Information '!$A$16,IF('Risk Register'!F54&gt;9,'Risk Information '!$A$17,IF('Risk Register'!F54&gt;4,'Risk Information '!$A$18,IF(OR(F54=0, F54=""), "N/A",'Risk Information '!$A$19))))</f>
        <v>Permission from worker in charge is permitted before work can proceed.</v>
      </c>
      <c r="H54" s="34" t="s">
        <v>135</v>
      </c>
      <c r="I54" s="8" t="s">
        <v>5</v>
      </c>
      <c r="J54" s="8" t="s">
        <v>18</v>
      </c>
      <c r="K54" s="9">
        <f t="shared" si="12"/>
        <v>5</v>
      </c>
      <c r="L54" s="59" t="str">
        <f>IF(K54&gt;15,'Risk Matrix'!$C$30,IF('Risk Register'!K54&gt;9,'Risk Matrix'!$C$29,IF('Risk Register'!K54&gt;4,'Risk Matrix'!$C$28,IF(OR(K54=0, K54=""), "N/A",'Risk Matrix'!$C$27))))</f>
        <v>Management responsibility must be specified.  Policy and procedures must be documented.  Works cannot proceed without management oversight.  Records should be audited annually.</v>
      </c>
      <c r="M54" s="13"/>
      <c r="N54" s="12"/>
      <c r="O54" s="12"/>
      <c r="P54" s="12"/>
      <c r="R54" s="13"/>
      <c r="S54" s="12"/>
      <c r="T54" s="12"/>
      <c r="U54" s="12"/>
    </row>
    <row r="55" spans="1:21" ht="180" x14ac:dyDescent="0.2">
      <c r="A55" s="56" t="s">
        <v>128</v>
      </c>
      <c r="B55" s="29" t="s">
        <v>157</v>
      </c>
      <c r="C55" s="29" t="str">
        <f>IF(B55="Quality",'Risk Information '!$B$34,IF(B55="Environment",'Risk Information '!$B$35,IF(B55="WHS",'Risk Information '!$B$36,)))</f>
        <v>AS/NZS ISO 14001:2016</v>
      </c>
      <c r="D55" s="19" t="s">
        <v>236</v>
      </c>
      <c r="E55" s="19" t="s">
        <v>154</v>
      </c>
      <c r="F55" s="13">
        <f t="shared" si="6"/>
        <v>5</v>
      </c>
      <c r="G55" s="59" t="str">
        <f>IF(F55&gt;15,'Risk Information '!$A$16,IF('Risk Register'!F55&gt;9,'Risk Information '!$A$17,IF('Risk Register'!F55&gt;4,'Risk Information '!$A$18,IF(OR(F55=0, F55=""), "N/A",'Risk Information '!$A$19))))</f>
        <v>Permission from worker in charge is permitted before work can proceed.</v>
      </c>
      <c r="H55" s="34" t="s">
        <v>136</v>
      </c>
      <c r="I55" s="8" t="s">
        <v>5</v>
      </c>
      <c r="J55" s="8" t="s">
        <v>18</v>
      </c>
      <c r="K55" s="9">
        <f t="shared" si="12"/>
        <v>5</v>
      </c>
      <c r="L55" s="59" t="str">
        <f>IF(K55&gt;15,'Risk Matrix'!$C$30,IF('Risk Register'!K55&gt;9,'Risk Matrix'!$C$29,IF('Risk Register'!K55&gt;4,'Risk Matrix'!$C$28,IF(OR(K55=0, K55=""), "N/A",'Risk Matrix'!$C$27))))</f>
        <v>Management responsibility must be specified.  Policy and procedures must be documented.  Works cannot proceed without management oversight.  Records should be audited annually.</v>
      </c>
      <c r="M55" s="13"/>
      <c r="N55" s="12"/>
      <c r="O55" s="12"/>
      <c r="P55" s="12"/>
      <c r="R55" s="13"/>
      <c r="S55" s="12"/>
      <c r="T55" s="12"/>
      <c r="U55" s="12"/>
    </row>
    <row r="56" spans="1:21" ht="180" x14ac:dyDescent="0.2">
      <c r="A56" s="56" t="s">
        <v>129</v>
      </c>
      <c r="B56" s="29" t="s">
        <v>157</v>
      </c>
      <c r="C56" s="29" t="str">
        <f>IF(B56="Quality",'Risk Information '!$B$34,IF(B56="Environment",'Risk Information '!$B$35,IF(B56="WHS",'Risk Information '!$B$36,)))</f>
        <v>AS/NZS ISO 14001:2016</v>
      </c>
      <c r="D56" s="19" t="s">
        <v>5</v>
      </c>
      <c r="E56" s="19" t="s">
        <v>154</v>
      </c>
      <c r="F56" s="13">
        <f t="shared" si="6"/>
        <v>5</v>
      </c>
      <c r="G56" s="59" t="str">
        <f>IF(F56&gt;15,'Risk Information '!$A$16,IF('Risk Register'!F56&gt;9,'Risk Information '!$A$17,IF('Risk Register'!F56&gt;4,'Risk Information '!$A$18,IF(OR(F56=0, F56=""), "N/A",'Risk Information '!$A$19))))</f>
        <v>Permission from worker in charge is permitted before work can proceed.</v>
      </c>
      <c r="H56" s="34" t="s">
        <v>137</v>
      </c>
      <c r="I56" s="8" t="s">
        <v>5</v>
      </c>
      <c r="J56" s="8" t="s">
        <v>18</v>
      </c>
      <c r="K56" s="9">
        <f t="shared" si="12"/>
        <v>5</v>
      </c>
      <c r="L56" s="59" t="str">
        <f>IF(K56&gt;15,'Risk Matrix'!$C$30,IF('Risk Register'!K56&gt;9,'Risk Matrix'!$C$29,IF('Risk Register'!K56&gt;4,'Risk Matrix'!$C$28,IF(OR(K56=0, K56=""), "N/A",'Risk Matrix'!$C$27))))</f>
        <v>Management responsibility must be specified.  Policy and procedures must be documented.  Works cannot proceed without management oversight.  Records should be audited annually.</v>
      </c>
      <c r="M56" s="13"/>
      <c r="N56" s="12"/>
      <c r="O56" s="12"/>
      <c r="P56" s="12"/>
      <c r="R56" s="13"/>
      <c r="S56" s="12"/>
      <c r="T56" s="12"/>
      <c r="U56" s="12"/>
    </row>
    <row r="57" spans="1:21" ht="112.5" x14ac:dyDescent="0.2">
      <c r="A57" s="56" t="s">
        <v>130</v>
      </c>
      <c r="B57" s="29" t="s">
        <v>157</v>
      </c>
      <c r="C57" s="29" t="str">
        <f>IF(B57="Quality",'Risk Information '!$B$34,IF(B57="Environment",'Risk Information '!$B$35,IF(B57="WHS",'Risk Information '!$B$36,)))</f>
        <v>AS/NZS ISO 14001:2016</v>
      </c>
      <c r="D57" s="19" t="s">
        <v>9</v>
      </c>
      <c r="E57" s="19" t="s">
        <v>151</v>
      </c>
      <c r="F57" s="13">
        <f t="shared" si="6"/>
        <v>4</v>
      </c>
      <c r="G57" s="59" t="str">
        <f>IF(F57&gt;15,'Risk Information '!$A$16,IF('Risk Register'!F57&gt;9,'Risk Information '!$A$17,IF('Risk Register'!F57&gt;4,'Risk Information '!$A$18,IF(OR(F57=0, F57=""), "N/A",'Risk Information '!$A$19))))</f>
        <v>No permission is needed. Work is able to proceed.</v>
      </c>
      <c r="H57" s="34" t="s">
        <v>138</v>
      </c>
      <c r="I57" s="8" t="s">
        <v>9</v>
      </c>
      <c r="J57" s="8" t="s">
        <v>151</v>
      </c>
      <c r="K57" s="9">
        <f t="shared" si="12"/>
        <v>4</v>
      </c>
      <c r="L57" s="59" t="str">
        <f>IF(K57&gt;15,'Risk Matrix'!$C$30,IF('Risk Register'!K57&gt;9,'Risk Matrix'!$C$29,IF('Risk Register'!K57&gt;4,'Risk Matrix'!$C$28,IF(OR(K57=0, K57=""), "N/A",'Risk Matrix'!$C$27))))</f>
        <v>Managed by routine procedures.  Records should be audited annually.  Work may proceed without specific management oversight.</v>
      </c>
      <c r="M57" s="13"/>
      <c r="N57" s="12"/>
      <c r="O57" s="12"/>
      <c r="P57" s="12"/>
      <c r="R57" s="13"/>
      <c r="S57" s="12"/>
      <c r="T57" s="12"/>
      <c r="U57" s="12"/>
    </row>
    <row r="58" spans="1:21" ht="180" x14ac:dyDescent="0.2">
      <c r="A58" s="56" t="s">
        <v>131</v>
      </c>
      <c r="B58" s="29" t="s">
        <v>157</v>
      </c>
      <c r="C58" s="29" t="str">
        <f>IF(B58="Quality",'Risk Information '!$B$34,IF(B58="Environment",'Risk Information '!$B$35,IF(B58="WHS",'Risk Information '!$B$36,)))</f>
        <v>AS/NZS ISO 14001:2016</v>
      </c>
      <c r="D58" s="19" t="s">
        <v>8</v>
      </c>
      <c r="E58" s="19" t="s">
        <v>150</v>
      </c>
      <c r="F58" s="13">
        <f t="shared" si="6"/>
        <v>10</v>
      </c>
      <c r="G58" s="59" t="str">
        <f>IF(F58&gt;15,'Risk Information '!$A$16,IF('Risk Register'!F58&gt;9,'Risk Information '!$A$17,IF('Risk Register'!F58&gt;4,'Risk Information '!$A$18,IF(OR(F58=0, F58=""), "N/A",'Risk Information '!$A$19))))</f>
        <v>Permission from high level management is permitted before work can proceed or further reduce risk.</v>
      </c>
      <c r="H58" s="34" t="s">
        <v>139</v>
      </c>
      <c r="I58" s="8" t="s">
        <v>9</v>
      </c>
      <c r="J58" s="8" t="s">
        <v>150</v>
      </c>
      <c r="K58" s="9">
        <f t="shared" si="12"/>
        <v>5</v>
      </c>
      <c r="L58" s="59" t="str">
        <f>IF(K58&gt;15,'Risk Matrix'!$C$30,IF('Risk Register'!K58&gt;9,'Risk Matrix'!$C$29,IF('Risk Register'!K58&gt;4,'Risk Matrix'!$C$28,IF(OR(K58=0, K58=""), "N/A",'Risk Matrix'!$C$27))))</f>
        <v>Management responsibility must be specified.  Policy and procedures must be documented.  Works cannot proceed without management oversight.  Records should be audited annually.</v>
      </c>
      <c r="M58" s="13"/>
      <c r="N58" s="12"/>
      <c r="O58" s="12"/>
      <c r="P58" s="12"/>
      <c r="R58" s="13"/>
      <c r="S58" s="12"/>
      <c r="T58" s="12"/>
      <c r="U58" s="12"/>
    </row>
    <row r="59" spans="1:21" ht="112.5" x14ac:dyDescent="0.2">
      <c r="A59" s="56" t="s">
        <v>132</v>
      </c>
      <c r="B59" s="29" t="s">
        <v>157</v>
      </c>
      <c r="C59" s="29" t="str">
        <f>IF(B59="Quality",'Risk Information '!$B$34,IF(B59="Environment",'Risk Information '!$B$35,IF(B59="WHS",'Risk Information '!$B$36,)))</f>
        <v>AS/NZS ISO 14001:2016</v>
      </c>
      <c r="D59" s="19" t="s">
        <v>7</v>
      </c>
      <c r="E59" s="19" t="s">
        <v>154</v>
      </c>
      <c r="F59" s="13">
        <f t="shared" si="6"/>
        <v>3</v>
      </c>
      <c r="G59" s="59" t="str">
        <f>IF(F59&gt;15,'Risk Information '!$A$16,IF('Risk Register'!F59&gt;9,'Risk Information '!$A$17,IF('Risk Register'!F59&gt;4,'Risk Information '!$A$18,IF(OR(F59=0, F59=""), "N/A",'Risk Information '!$A$19))))</f>
        <v>No permission is needed. Work is able to proceed.</v>
      </c>
      <c r="H59" s="34" t="s">
        <v>140</v>
      </c>
      <c r="I59" s="8" t="s">
        <v>9</v>
      </c>
      <c r="J59" s="8" t="s">
        <v>154</v>
      </c>
      <c r="K59" s="9">
        <f t="shared" si="12"/>
        <v>1</v>
      </c>
      <c r="L59" s="59" t="str">
        <f>IF(K59&gt;15,'Risk Matrix'!$C$30,IF('Risk Register'!K59&gt;9,'Risk Matrix'!$C$29,IF('Risk Register'!K59&gt;4,'Risk Matrix'!$C$28,IF(OR(K59=0, K59=""), "N/A",'Risk Matrix'!$C$27))))</f>
        <v>Managed by routine procedures.  Records should be audited annually.  Work may proceed without specific management oversight.</v>
      </c>
      <c r="M59" s="13"/>
      <c r="N59" s="12"/>
      <c r="O59" s="12"/>
      <c r="P59" s="12"/>
      <c r="R59" s="13"/>
      <c r="S59" s="12"/>
      <c r="T59" s="12"/>
      <c r="U59" s="12"/>
    </row>
    <row r="60" spans="1:21" ht="112.5" x14ac:dyDescent="0.2">
      <c r="A60" s="56" t="s">
        <v>312</v>
      </c>
      <c r="B60" s="29" t="s">
        <v>157</v>
      </c>
      <c r="C60" s="29" t="str">
        <f>IF(B60="Quality",'Risk Information '!$B$34,IF(B60="Environment",'Risk Information '!$B$35,IF(B60="WHS",'Risk Information '!$B$36,)))</f>
        <v>AS/NZS ISO 14001:2016</v>
      </c>
      <c r="D60" s="19" t="s">
        <v>6</v>
      </c>
      <c r="E60" s="19" t="s">
        <v>154</v>
      </c>
      <c r="F60" s="13">
        <f t="shared" si="6"/>
        <v>4</v>
      </c>
      <c r="G60" s="59" t="str">
        <f>IF(F60&gt;15,'Risk Information '!$A$16,IF('Risk Register'!F60&gt;9,'Risk Information '!$A$17,IF('Risk Register'!F60&gt;4,'Risk Information '!$A$18,IF(OR(F60=0, F60=""), "N/A",'Risk Information '!$A$19))))</f>
        <v>No permission is needed. Work is able to proceed.</v>
      </c>
      <c r="H60" s="34" t="s">
        <v>141</v>
      </c>
      <c r="I60" s="8" t="s">
        <v>6</v>
      </c>
      <c r="J60" s="8" t="s">
        <v>154</v>
      </c>
      <c r="K60" s="9">
        <f t="shared" si="12"/>
        <v>4</v>
      </c>
      <c r="L60" s="59" t="str">
        <f>IF(K60&gt;15,'Risk Matrix'!$C$30,IF('Risk Register'!K60&gt;9,'Risk Matrix'!$C$29,IF('Risk Register'!K60&gt;4,'Risk Matrix'!$C$28,IF(OR(K60=0, K60=""), "N/A",'Risk Matrix'!$C$27))))</f>
        <v>Managed by routine procedures.  Records should be audited annually.  Work may proceed without specific management oversight.</v>
      </c>
      <c r="M60" s="13"/>
      <c r="N60" s="12"/>
      <c r="O60" s="12"/>
      <c r="P60" s="12"/>
      <c r="R60" s="13"/>
      <c r="S60" s="12"/>
      <c r="T60" s="12"/>
      <c r="U60" s="12"/>
    </row>
    <row r="61" spans="1:21" ht="180" x14ac:dyDescent="0.2">
      <c r="A61" s="56" t="s">
        <v>133</v>
      </c>
      <c r="B61" s="29" t="s">
        <v>157</v>
      </c>
      <c r="C61" s="29" t="str">
        <f>IF(B61="Quality",'Risk Information '!$B$34,IF(B61="Environment",'Risk Information '!$B$35,IF(B61="WHS",'Risk Information '!$B$36,)))</f>
        <v>AS/NZS ISO 14001:2016</v>
      </c>
      <c r="D61" s="19" t="s">
        <v>7</v>
      </c>
      <c r="E61" s="19" t="s">
        <v>151</v>
      </c>
      <c r="F61" s="13">
        <f t="shared" si="6"/>
        <v>12</v>
      </c>
      <c r="G61" s="59" t="str">
        <f>IF(F61&gt;15,'Risk Information '!$A$16,IF('Risk Register'!F61&gt;9,'Risk Information '!$A$17,IF('Risk Register'!F61&gt;4,'Risk Information '!$A$18,IF(OR(F61=0, F61=""), "N/A",'Risk Information '!$A$19))))</f>
        <v>Permission from high level management is permitted before work can proceed or further reduce risk.</v>
      </c>
      <c r="H61" s="34" t="s">
        <v>313</v>
      </c>
      <c r="I61" s="8" t="s">
        <v>8</v>
      </c>
      <c r="J61" s="8" t="s">
        <v>151</v>
      </c>
      <c r="K61" s="9">
        <f t="shared" si="12"/>
        <v>8</v>
      </c>
      <c r="L61" s="59" t="str">
        <f>IF(K61&gt;15,'Risk Matrix'!$C$30,IF('Risk Register'!K61&gt;9,'Risk Matrix'!$C$29,IF('Risk Register'!K61&gt;4,'Risk Matrix'!$C$28,IF(OR(K61=0, K61=""), "N/A",'Risk Matrix'!$C$27))))</f>
        <v>Management responsibility must be specified.  Policy and procedures must be documented.  Works cannot proceed without management oversight.  Records should be audited annually.</v>
      </c>
      <c r="M61" s="13"/>
      <c r="N61" s="12"/>
      <c r="O61" s="12"/>
      <c r="P61" s="12"/>
      <c r="R61" s="13"/>
      <c r="S61" s="12"/>
      <c r="T61" s="12"/>
      <c r="U61" s="12"/>
    </row>
    <row r="62" spans="1:21" ht="180" x14ac:dyDescent="0.2">
      <c r="A62" s="33" t="s">
        <v>142</v>
      </c>
      <c r="B62" s="29" t="s">
        <v>157</v>
      </c>
      <c r="C62" s="29" t="str">
        <f>IF(B62="Quality",'Risk Information '!$B$34,IF(B62="Environment",'Risk Information '!$B$35,IF(B62="WHS",'Risk Information '!$B$36,)))</f>
        <v>AS/NZS ISO 14001:2016</v>
      </c>
      <c r="D62" s="19" t="s">
        <v>8</v>
      </c>
      <c r="E62" s="19" t="s">
        <v>150</v>
      </c>
      <c r="F62" s="13">
        <f t="shared" si="6"/>
        <v>10</v>
      </c>
      <c r="G62" s="59" t="str">
        <f>IF(F62&gt;15,'Risk Information '!$A$16,IF('Risk Register'!F62&gt;9,'Risk Information '!$A$17,IF('Risk Register'!F62&gt;4,'Risk Information '!$A$18,IF(OR(F62=0, F62=""), "N/A",'Risk Information '!$A$19))))</f>
        <v>Permission from high level management is permitted before work can proceed or further reduce risk.</v>
      </c>
      <c r="H62" s="34" t="s">
        <v>143</v>
      </c>
      <c r="I62" s="8" t="s">
        <v>9</v>
      </c>
      <c r="J62" s="8" t="s">
        <v>150</v>
      </c>
      <c r="K62" s="9">
        <f t="shared" si="12"/>
        <v>5</v>
      </c>
      <c r="L62" s="59" t="str">
        <f>IF(K62&gt;15,'Risk Matrix'!$C$30,IF('Risk Register'!K62&gt;9,'Risk Matrix'!$C$29,IF('Risk Register'!K62&gt;4,'Risk Matrix'!$C$28,IF(OR(K62=0, K62=""), "N/A",'Risk Matrix'!$C$27))))</f>
        <v>Management responsibility must be specified.  Policy and procedures must be documented.  Works cannot proceed without management oversight.  Records should be audited annually.</v>
      </c>
      <c r="M62" s="13"/>
      <c r="N62" s="12"/>
      <c r="O62" s="12"/>
      <c r="P62" s="12"/>
      <c r="R62" s="13"/>
      <c r="S62" s="12"/>
      <c r="T62" s="12"/>
      <c r="U62" s="12"/>
    </row>
    <row r="63" spans="1:21" ht="46.5" customHeight="1" x14ac:dyDescent="0.2">
      <c r="A63" s="75" t="s">
        <v>274</v>
      </c>
      <c r="B63" s="76" t="s">
        <v>156</v>
      </c>
      <c r="C63" s="76" t="str">
        <f>IF(B63="Quality",'Risk Information '!$B$34,IF(B63="Environment",'Risk Information '!$B$35,IF(B63="WHS",'Risk Information '!$B$36,)))</f>
        <v>Work Health and Safety Act (QLD) 2013</v>
      </c>
      <c r="D63" s="77"/>
      <c r="E63" s="77"/>
      <c r="F63" s="78" t="str">
        <f t="shared" si="6"/>
        <v/>
      </c>
      <c r="G63" s="79" t="str">
        <f>IF(F63&gt;15,'Risk Information '!$A$16,IF('Risk Register'!F63&gt;9,'Risk Information '!$A$17,IF('Risk Register'!F63&gt;4,'Risk Information '!$A$18,IF(OR(F63=0, F63=""), "N/A",'Risk Information '!$A$19))))</f>
        <v>Work is unable to proceed until the risk can be reduced.</v>
      </c>
      <c r="H63" s="34"/>
      <c r="I63" s="8"/>
      <c r="J63" s="8"/>
      <c r="K63" s="9" t="str">
        <f t="shared" si="12"/>
        <v/>
      </c>
      <c r="L63" s="79" t="str">
        <f>IF(K64&gt;15,'Risk Matrix'!$C$30,IF('Risk Register'!K64&gt;9,'Risk Matrix'!$C$29,IF('Risk Register'!K64&gt;4,'Risk Matrix'!$C$28,IF(OR(K64=0, K64=""), "N/A",'Risk Matrix'!$C$27))))</f>
        <v>N/A</v>
      </c>
      <c r="M63" s="78"/>
      <c r="N63" s="80"/>
      <c r="O63" s="12"/>
      <c r="P63" s="12"/>
      <c r="R63" s="13"/>
      <c r="S63" s="12"/>
      <c r="T63" s="12"/>
      <c r="U63" s="12"/>
    </row>
    <row r="64" spans="1:21" ht="58.5" customHeight="1" x14ac:dyDescent="0.2">
      <c r="A64" s="82"/>
      <c r="B64" s="70"/>
      <c r="C64" s="70"/>
      <c r="D64" s="8"/>
      <c r="E64" s="8"/>
      <c r="F64" s="9"/>
      <c r="G64" s="8"/>
      <c r="H64" s="34"/>
      <c r="I64" s="8"/>
      <c r="J64" s="8"/>
      <c r="K64" s="9"/>
      <c r="L64" s="8"/>
      <c r="M64" s="9"/>
      <c r="O64" s="74"/>
      <c r="P64" s="12"/>
      <c r="R64" s="13"/>
      <c r="S64" s="12"/>
      <c r="T64" s="12"/>
      <c r="U64" s="12"/>
    </row>
    <row r="65" spans="1:21" ht="51" customHeight="1" x14ac:dyDescent="0.2">
      <c r="A65" s="82"/>
      <c r="B65" s="70"/>
      <c r="C65" s="70"/>
      <c r="D65" s="8"/>
      <c r="E65" s="8"/>
      <c r="F65" s="9"/>
      <c r="G65" s="8"/>
      <c r="H65" s="34"/>
      <c r="I65" s="8"/>
      <c r="J65" s="8"/>
      <c r="K65" s="9"/>
      <c r="L65" s="8"/>
      <c r="M65" s="9"/>
      <c r="O65" s="74"/>
      <c r="P65" s="12"/>
      <c r="R65" s="13"/>
      <c r="S65" s="12"/>
      <c r="T65" s="12"/>
      <c r="U65" s="12"/>
    </row>
    <row r="66" spans="1:21" ht="48" customHeight="1" x14ac:dyDescent="0.2">
      <c r="A66" s="82"/>
      <c r="B66" s="70"/>
      <c r="C66" s="70"/>
      <c r="D66" s="8"/>
      <c r="E66" s="8"/>
      <c r="F66" s="9"/>
      <c r="G66" s="8"/>
      <c r="H66" s="34"/>
      <c r="I66" s="8"/>
      <c r="J66" s="8"/>
      <c r="K66" s="9"/>
      <c r="L66" s="8"/>
      <c r="M66" s="9"/>
      <c r="O66" s="74"/>
      <c r="P66" s="12"/>
      <c r="R66" s="13"/>
      <c r="S66" s="12"/>
      <c r="T66" s="12"/>
      <c r="U66" s="12"/>
    </row>
    <row r="67" spans="1:21" ht="59.25" customHeight="1" x14ac:dyDescent="0.2">
      <c r="A67" s="82"/>
      <c r="B67" s="70"/>
      <c r="C67" s="70"/>
      <c r="D67" s="8"/>
      <c r="E67" s="8"/>
      <c r="F67" s="9"/>
      <c r="G67" s="8"/>
      <c r="H67" s="34"/>
      <c r="I67" s="8"/>
      <c r="J67" s="8"/>
      <c r="K67" s="9"/>
      <c r="L67" s="8"/>
      <c r="M67" s="9"/>
      <c r="O67" s="74"/>
      <c r="P67" s="12"/>
      <c r="R67" s="13"/>
      <c r="S67" s="12"/>
      <c r="T67" s="12"/>
      <c r="U67" s="12"/>
    </row>
    <row r="68" spans="1:21" ht="56.25" customHeight="1" x14ac:dyDescent="0.2">
      <c r="A68" s="82"/>
      <c r="B68" s="70"/>
      <c r="C68" s="70"/>
      <c r="D68" s="8"/>
      <c r="E68" s="8"/>
      <c r="F68" s="9"/>
      <c r="G68" s="8"/>
      <c r="H68" s="34"/>
      <c r="I68" s="8"/>
      <c r="J68" s="8"/>
      <c r="K68" s="9"/>
      <c r="L68" s="8"/>
      <c r="M68" s="9"/>
      <c r="O68" s="74"/>
      <c r="P68" s="12"/>
      <c r="R68" s="13"/>
      <c r="S68" s="12"/>
      <c r="T68" s="12"/>
      <c r="U68" s="12"/>
    </row>
    <row r="69" spans="1:21" ht="48.75" customHeight="1" x14ac:dyDescent="0.2">
      <c r="A69" s="82"/>
      <c r="B69" s="70"/>
      <c r="C69" s="70"/>
      <c r="D69" s="8"/>
      <c r="E69" s="8"/>
      <c r="F69" s="9"/>
      <c r="G69" s="8"/>
      <c r="H69" s="34"/>
      <c r="I69" s="8"/>
      <c r="J69" s="8"/>
      <c r="K69" s="9"/>
      <c r="L69" s="8"/>
      <c r="M69" s="9"/>
      <c r="O69" s="74"/>
      <c r="P69" s="12"/>
      <c r="R69" s="13"/>
      <c r="S69" s="12"/>
      <c r="T69" s="12"/>
      <c r="U69" s="12"/>
    </row>
    <row r="70" spans="1:21" ht="45" customHeight="1" x14ac:dyDescent="0.2">
      <c r="A70" s="82"/>
      <c r="B70" s="70"/>
      <c r="C70" s="70"/>
      <c r="D70" s="8"/>
      <c r="E70" s="8"/>
      <c r="F70" s="9"/>
      <c r="G70" s="8"/>
      <c r="H70" s="34"/>
      <c r="I70" s="8"/>
      <c r="J70" s="8"/>
      <c r="K70" s="9"/>
      <c r="L70" s="8"/>
      <c r="M70" s="9"/>
      <c r="O70" s="74"/>
      <c r="P70" s="12"/>
      <c r="R70" s="13"/>
      <c r="S70" s="12"/>
      <c r="T70" s="12"/>
      <c r="U70" s="12"/>
    </row>
    <row r="71" spans="1:21" ht="48" customHeight="1" x14ac:dyDescent="0.2">
      <c r="A71" s="82"/>
      <c r="B71" s="70"/>
      <c r="C71" s="70"/>
      <c r="D71" s="8"/>
      <c r="E71" s="8"/>
      <c r="F71" s="9"/>
      <c r="G71" s="8"/>
      <c r="H71" s="34"/>
      <c r="I71" s="8"/>
      <c r="J71" s="8"/>
      <c r="K71" s="9"/>
      <c r="L71" s="8"/>
      <c r="M71" s="9"/>
      <c r="O71" s="74"/>
      <c r="P71" s="12"/>
      <c r="R71" s="13"/>
      <c r="S71" s="12"/>
      <c r="T71" s="12"/>
      <c r="U71" s="12"/>
    </row>
    <row r="72" spans="1:21" ht="47.25" customHeight="1" x14ac:dyDescent="0.2">
      <c r="A72" s="81"/>
      <c r="B72" s="70"/>
      <c r="C72" s="70"/>
      <c r="D72" s="8"/>
      <c r="E72" s="8"/>
      <c r="F72" s="9"/>
      <c r="G72" s="8"/>
      <c r="H72" s="34"/>
      <c r="I72" s="8"/>
      <c r="J72" s="8"/>
      <c r="K72" s="9"/>
      <c r="L72" s="8"/>
      <c r="M72" s="9"/>
      <c r="O72" s="74"/>
      <c r="P72" s="12"/>
      <c r="R72" s="13"/>
      <c r="S72" s="12"/>
      <c r="T72" s="12"/>
      <c r="U72" s="12"/>
    </row>
    <row r="73" spans="1:21" ht="49.5" customHeight="1" x14ac:dyDescent="0.2">
      <c r="A73" s="81"/>
      <c r="B73" s="70"/>
      <c r="C73" s="70"/>
      <c r="D73" s="8"/>
      <c r="E73" s="8"/>
      <c r="F73" s="9"/>
      <c r="G73" s="8"/>
      <c r="H73" s="34"/>
      <c r="I73" s="8"/>
      <c r="J73" s="8"/>
      <c r="K73" s="9"/>
      <c r="L73" s="8"/>
      <c r="M73" s="9"/>
      <c r="O73" s="74"/>
      <c r="P73" s="12"/>
      <c r="R73" s="13"/>
      <c r="S73" s="12"/>
      <c r="T73" s="12"/>
      <c r="U73" s="12"/>
    </row>
    <row r="74" spans="1:21" ht="41.25" customHeight="1" x14ac:dyDescent="0.2">
      <c r="A74" s="81"/>
      <c r="B74" s="70"/>
      <c r="C74" s="70"/>
      <c r="D74" s="8"/>
      <c r="E74" s="8"/>
      <c r="F74" s="9"/>
      <c r="G74" s="8"/>
      <c r="H74" s="34"/>
      <c r="I74" s="8"/>
      <c r="J74" s="8"/>
      <c r="K74" s="9"/>
      <c r="L74" s="8"/>
      <c r="M74" s="9"/>
      <c r="O74" s="74"/>
      <c r="P74" s="12"/>
      <c r="R74" s="13"/>
      <c r="S74" s="12"/>
      <c r="T74" s="12"/>
      <c r="U74" s="12"/>
    </row>
    <row r="75" spans="1:21" ht="40.5" customHeight="1" x14ac:dyDescent="0.2">
      <c r="A75" s="81"/>
      <c r="B75" s="70"/>
      <c r="C75" s="70"/>
      <c r="D75" s="8"/>
      <c r="E75" s="8"/>
      <c r="F75" s="9"/>
      <c r="G75" s="8"/>
      <c r="H75" s="34"/>
      <c r="I75" s="8"/>
      <c r="J75" s="8"/>
      <c r="K75" s="9"/>
      <c r="L75" s="8"/>
      <c r="M75" s="9"/>
      <c r="O75" s="74"/>
      <c r="P75" s="12"/>
      <c r="R75" s="13"/>
      <c r="S75" s="12"/>
      <c r="T75" s="12"/>
      <c r="U75" s="12"/>
    </row>
    <row r="76" spans="1:21" ht="65.25" customHeight="1" x14ac:dyDescent="0.2">
      <c r="A76" s="81"/>
      <c r="B76" s="70"/>
      <c r="C76" s="70"/>
      <c r="D76" s="8"/>
      <c r="E76" s="8"/>
      <c r="F76" s="9"/>
      <c r="G76" s="8"/>
      <c r="H76" s="34"/>
      <c r="I76" s="8"/>
      <c r="J76" s="8"/>
      <c r="K76" s="9"/>
      <c r="L76" s="8"/>
      <c r="M76" s="9"/>
      <c r="O76" s="74"/>
      <c r="P76" s="12"/>
      <c r="R76" s="13"/>
      <c r="S76" s="12"/>
      <c r="T76" s="12"/>
      <c r="U76" s="12"/>
    </row>
    <row r="77" spans="1:21" ht="53.25" customHeight="1" x14ac:dyDescent="0.2">
      <c r="A77" s="81"/>
      <c r="B77" s="70"/>
      <c r="C77" s="70"/>
      <c r="D77" s="8"/>
      <c r="E77" s="8"/>
      <c r="F77" s="9"/>
      <c r="G77" s="8"/>
      <c r="H77" s="34"/>
      <c r="I77" s="8"/>
      <c r="J77" s="8"/>
      <c r="K77" s="9"/>
      <c r="L77" s="8"/>
      <c r="M77" s="9"/>
      <c r="O77" s="74"/>
      <c r="P77" s="12"/>
      <c r="R77" s="13"/>
      <c r="S77" s="12"/>
      <c r="T77" s="12"/>
      <c r="U77" s="12"/>
    </row>
    <row r="78" spans="1:21" ht="51.75" customHeight="1" x14ac:dyDescent="0.2">
      <c r="A78" s="81"/>
      <c r="B78" s="70"/>
      <c r="C78" s="70"/>
      <c r="D78" s="8"/>
      <c r="E78" s="8"/>
      <c r="F78" s="9"/>
      <c r="G78" s="8"/>
      <c r="H78" s="34"/>
      <c r="I78" s="8"/>
      <c r="J78" s="8"/>
      <c r="K78" s="9"/>
      <c r="L78" s="8"/>
      <c r="M78" s="9"/>
      <c r="O78" s="74"/>
      <c r="P78" s="12"/>
      <c r="R78" s="13"/>
      <c r="S78" s="12"/>
      <c r="T78" s="12"/>
      <c r="U78" s="12"/>
    </row>
    <row r="79" spans="1:21" ht="62.25" customHeight="1" x14ac:dyDescent="0.2">
      <c r="A79" s="81"/>
      <c r="B79" s="70"/>
      <c r="C79" s="70"/>
      <c r="D79" s="8"/>
      <c r="E79" s="8"/>
      <c r="F79" s="9"/>
      <c r="G79" s="8"/>
      <c r="H79" s="34"/>
      <c r="I79" s="8"/>
      <c r="J79" s="8"/>
      <c r="K79" s="9"/>
      <c r="L79" s="8"/>
      <c r="M79" s="9"/>
      <c r="O79" s="74"/>
      <c r="P79" s="12"/>
      <c r="R79" s="13"/>
      <c r="S79" s="12"/>
      <c r="T79" s="12"/>
      <c r="U79" s="12"/>
    </row>
    <row r="80" spans="1:21" ht="54.75" customHeight="1" x14ac:dyDescent="0.2">
      <c r="A80" s="82"/>
      <c r="B80" s="70"/>
      <c r="C80" s="70"/>
      <c r="D80" s="8"/>
      <c r="E80" s="8"/>
      <c r="F80" s="9"/>
      <c r="G80" s="8"/>
      <c r="H80" s="34"/>
      <c r="I80" s="8"/>
      <c r="J80" s="8"/>
      <c r="K80" s="9"/>
      <c r="L80" s="8"/>
      <c r="M80" s="9"/>
      <c r="O80" s="74"/>
      <c r="P80" s="12"/>
      <c r="R80" s="13"/>
      <c r="S80" s="12"/>
      <c r="T80" s="12"/>
      <c r="U80" s="12"/>
    </row>
    <row r="81" spans="1:21" ht="37.5" customHeight="1" x14ac:dyDescent="0.2">
      <c r="A81" s="82"/>
      <c r="B81" s="70"/>
      <c r="C81" s="70"/>
      <c r="D81" s="8"/>
      <c r="E81" s="8"/>
      <c r="F81" s="9"/>
      <c r="G81" s="8"/>
      <c r="H81" s="34"/>
      <c r="I81" s="8"/>
      <c r="J81" s="8"/>
      <c r="K81" s="9"/>
      <c r="L81" s="8"/>
      <c r="M81" s="9"/>
      <c r="O81" s="74"/>
      <c r="P81" s="12"/>
      <c r="R81" s="13"/>
      <c r="S81" s="12"/>
      <c r="T81" s="12"/>
      <c r="U81" s="12"/>
    </row>
    <row r="82" spans="1:21" ht="41.25" customHeight="1" x14ac:dyDescent="0.2">
      <c r="A82" s="82"/>
      <c r="B82" s="70"/>
      <c r="C82" s="70"/>
      <c r="D82" s="8"/>
      <c r="E82" s="8"/>
      <c r="F82" s="9"/>
      <c r="G82" s="8"/>
      <c r="H82" s="34"/>
      <c r="I82" s="8"/>
      <c r="J82" s="8"/>
      <c r="K82" s="9"/>
      <c r="L82" s="8"/>
      <c r="M82" s="9"/>
      <c r="O82" s="74"/>
      <c r="P82" s="12"/>
      <c r="R82" s="13"/>
      <c r="S82" s="12"/>
      <c r="T82" s="12"/>
      <c r="U82" s="12"/>
    </row>
    <row r="83" spans="1:21" ht="38.25" customHeight="1" x14ac:dyDescent="0.2">
      <c r="A83" s="82"/>
      <c r="B83" s="70"/>
      <c r="C83" s="70"/>
      <c r="D83" s="8"/>
      <c r="E83" s="8"/>
      <c r="F83" s="9"/>
      <c r="G83" s="8"/>
      <c r="H83" s="34"/>
      <c r="I83" s="8"/>
      <c r="J83" s="8"/>
      <c r="K83" s="9"/>
      <c r="L83" s="8"/>
      <c r="M83" s="9"/>
      <c r="O83" s="74"/>
      <c r="P83" s="12"/>
      <c r="R83" s="13"/>
      <c r="S83" s="12"/>
      <c r="T83" s="12"/>
      <c r="U83" s="12"/>
    </row>
    <row r="84" spans="1:21" ht="36" customHeight="1" x14ac:dyDescent="0.2">
      <c r="A84" s="82"/>
      <c r="B84" s="70"/>
      <c r="C84" s="70"/>
      <c r="D84" s="8"/>
      <c r="E84" s="8"/>
      <c r="F84" s="9"/>
      <c r="G84" s="8"/>
      <c r="H84" s="34"/>
      <c r="I84" s="8"/>
      <c r="J84" s="8"/>
      <c r="K84" s="9"/>
      <c r="L84" s="8"/>
      <c r="M84" s="9"/>
      <c r="O84" s="74"/>
      <c r="P84" s="12"/>
      <c r="R84" s="13"/>
      <c r="S84" s="12"/>
      <c r="T84" s="12"/>
      <c r="U84" s="12"/>
    </row>
    <row r="85" spans="1:21" ht="39" customHeight="1" x14ac:dyDescent="0.2">
      <c r="A85" s="82"/>
      <c r="B85" s="70"/>
      <c r="C85" s="70"/>
      <c r="D85" s="8"/>
      <c r="E85" s="8"/>
      <c r="F85" s="9"/>
      <c r="G85" s="8"/>
      <c r="H85" s="34"/>
      <c r="I85" s="8"/>
      <c r="J85" s="8"/>
      <c r="K85" s="9"/>
      <c r="L85" s="8"/>
      <c r="M85" s="9"/>
      <c r="O85" s="74"/>
      <c r="P85" s="12"/>
      <c r="R85" s="13"/>
      <c r="S85" s="12"/>
      <c r="T85" s="12"/>
      <c r="U85" s="12"/>
    </row>
    <row r="86" spans="1:21" ht="37.5" customHeight="1" x14ac:dyDescent="0.2">
      <c r="A86" s="82"/>
      <c r="B86" s="70"/>
      <c r="C86" s="70"/>
      <c r="D86" s="8"/>
      <c r="E86" s="8"/>
      <c r="F86" s="9"/>
      <c r="G86" s="8"/>
      <c r="H86" s="34"/>
      <c r="I86" s="8"/>
      <c r="J86" s="8"/>
      <c r="K86" s="9"/>
      <c r="L86" s="8"/>
      <c r="M86" s="9"/>
      <c r="O86" s="74"/>
      <c r="P86" s="12"/>
      <c r="R86" s="13"/>
      <c r="S86" s="12"/>
      <c r="T86" s="12"/>
      <c r="U86" s="12"/>
    </row>
    <row r="87" spans="1:21" ht="42" customHeight="1" x14ac:dyDescent="0.2">
      <c r="A87" s="82"/>
      <c r="B87" s="70"/>
      <c r="C87" s="70"/>
      <c r="D87" s="8"/>
      <c r="E87" s="8"/>
      <c r="F87" s="9"/>
      <c r="G87" s="8"/>
      <c r="H87" s="34"/>
      <c r="I87" s="8"/>
      <c r="J87" s="8"/>
      <c r="K87" s="9"/>
      <c r="L87" s="8"/>
      <c r="M87" s="9"/>
      <c r="O87" s="74"/>
      <c r="P87" s="12"/>
      <c r="R87" s="13"/>
      <c r="S87" s="12"/>
      <c r="T87" s="12"/>
      <c r="U87" s="12"/>
    </row>
    <row r="88" spans="1:21" ht="37.5" customHeight="1" x14ac:dyDescent="0.2">
      <c r="A88" s="82"/>
      <c r="B88" s="70"/>
      <c r="C88" s="70"/>
      <c r="D88" s="8"/>
      <c r="E88" s="8"/>
      <c r="F88" s="9"/>
      <c r="G88" s="8"/>
      <c r="H88" s="34"/>
      <c r="I88" s="8"/>
      <c r="J88" s="8"/>
      <c r="K88" s="9"/>
      <c r="L88" s="8"/>
      <c r="M88" s="9"/>
      <c r="O88" s="74"/>
      <c r="P88" s="12"/>
      <c r="R88" s="13"/>
      <c r="S88" s="12"/>
      <c r="T88" s="12"/>
      <c r="U88" s="12"/>
    </row>
    <row r="89" spans="1:21" ht="39" customHeight="1" x14ac:dyDescent="0.2">
      <c r="A89" s="82"/>
      <c r="B89" s="70"/>
      <c r="C89" s="70"/>
      <c r="D89" s="8"/>
      <c r="E89" s="8"/>
      <c r="F89" s="9"/>
      <c r="G89" s="8"/>
      <c r="H89" s="34"/>
      <c r="I89" s="8"/>
      <c r="J89" s="8"/>
      <c r="K89" s="9"/>
      <c r="L89" s="8"/>
      <c r="M89" s="9"/>
      <c r="O89" s="74"/>
      <c r="P89" s="12"/>
      <c r="R89" s="13"/>
      <c r="S89" s="12"/>
      <c r="T89" s="12"/>
      <c r="U89" s="12"/>
    </row>
    <row r="90" spans="1:21" ht="39" customHeight="1" x14ac:dyDescent="0.2">
      <c r="A90" s="82"/>
      <c r="B90" s="70"/>
      <c r="C90" s="70"/>
      <c r="D90" s="8"/>
      <c r="E90" s="8"/>
      <c r="F90" s="9"/>
      <c r="G90" s="8"/>
      <c r="H90" s="34"/>
      <c r="I90" s="8"/>
      <c r="J90" s="8"/>
      <c r="K90" s="9"/>
      <c r="L90" s="8"/>
      <c r="M90" s="9"/>
      <c r="O90" s="74"/>
      <c r="P90" s="12"/>
      <c r="R90" s="13"/>
      <c r="S90" s="12"/>
      <c r="T90" s="12"/>
      <c r="U90" s="12"/>
    </row>
    <row r="91" spans="1:21" ht="37.5" customHeight="1" x14ac:dyDescent="0.2">
      <c r="A91" s="82"/>
      <c r="B91" s="70"/>
      <c r="C91" s="70"/>
      <c r="D91" s="8"/>
      <c r="E91" s="8"/>
      <c r="F91" s="9"/>
      <c r="G91" s="8"/>
      <c r="H91" s="34"/>
      <c r="I91" s="8"/>
      <c r="J91" s="8"/>
      <c r="K91" s="9"/>
      <c r="L91" s="8"/>
      <c r="M91" s="9"/>
      <c r="O91" s="74"/>
      <c r="P91" s="12"/>
      <c r="R91" s="13"/>
      <c r="S91" s="12"/>
      <c r="T91" s="12"/>
      <c r="U91" s="12"/>
    </row>
    <row r="92" spans="1:21" ht="40.5" customHeight="1" x14ac:dyDescent="0.2">
      <c r="A92" s="82"/>
      <c r="B92" s="70"/>
      <c r="C92" s="70"/>
      <c r="D92" s="8"/>
      <c r="E92" s="8"/>
      <c r="F92" s="9"/>
      <c r="G92" s="8"/>
      <c r="H92" s="34"/>
      <c r="I92" s="8"/>
      <c r="J92" s="8"/>
      <c r="K92" s="9"/>
      <c r="L92" s="8"/>
      <c r="M92" s="9"/>
      <c r="O92" s="74"/>
      <c r="P92" s="12"/>
      <c r="R92" s="13"/>
      <c r="S92" s="12"/>
      <c r="T92" s="12"/>
      <c r="U92" s="12"/>
    </row>
    <row r="93" spans="1:21" ht="40.5" customHeight="1" x14ac:dyDescent="0.2">
      <c r="A93" s="82"/>
      <c r="B93" s="70"/>
      <c r="C93" s="70"/>
      <c r="D93" s="8"/>
      <c r="E93" s="8"/>
      <c r="F93" s="9"/>
      <c r="G93" s="8"/>
      <c r="H93" s="34"/>
      <c r="I93" s="8"/>
      <c r="J93" s="8"/>
      <c r="K93" s="9"/>
      <c r="L93" s="8"/>
      <c r="M93" s="9"/>
      <c r="O93" s="74"/>
      <c r="P93" s="12"/>
      <c r="R93" s="13"/>
      <c r="S93" s="12"/>
      <c r="T93" s="12"/>
      <c r="U93" s="12"/>
    </row>
    <row r="94" spans="1:21" ht="39" customHeight="1" x14ac:dyDescent="0.2">
      <c r="A94" s="82"/>
      <c r="B94" s="70"/>
      <c r="C94" s="70"/>
      <c r="D94" s="8"/>
      <c r="E94" s="8"/>
      <c r="F94" s="9"/>
      <c r="G94" s="8"/>
      <c r="H94" s="34"/>
      <c r="I94" s="8"/>
      <c r="J94" s="8"/>
      <c r="K94" s="9"/>
      <c r="L94" s="8"/>
      <c r="M94" s="9"/>
      <c r="O94" s="74"/>
      <c r="P94" s="12"/>
      <c r="R94" s="13"/>
      <c r="S94" s="12"/>
      <c r="T94" s="12"/>
      <c r="U94" s="12"/>
    </row>
    <row r="95" spans="1:21" ht="45" customHeight="1" x14ac:dyDescent="0.2">
      <c r="A95" s="82"/>
      <c r="B95" s="70"/>
      <c r="C95" s="70"/>
      <c r="D95" s="8"/>
      <c r="E95" s="8"/>
      <c r="F95" s="9"/>
      <c r="G95" s="8"/>
      <c r="H95" s="34"/>
      <c r="I95" s="8"/>
      <c r="J95" s="8"/>
      <c r="K95" s="9"/>
      <c r="L95" s="8"/>
      <c r="M95" s="9"/>
      <c r="O95" s="74"/>
      <c r="P95" s="12"/>
      <c r="R95" s="13"/>
      <c r="S95" s="12"/>
      <c r="T95" s="12"/>
      <c r="U95" s="12"/>
    </row>
    <row r="96" spans="1:21" ht="42.75" customHeight="1" x14ac:dyDescent="0.2">
      <c r="A96" s="82"/>
      <c r="B96" s="70"/>
      <c r="C96" s="70"/>
      <c r="D96" s="8"/>
      <c r="E96" s="8"/>
      <c r="F96" s="9"/>
      <c r="G96" s="8"/>
      <c r="H96" s="34"/>
      <c r="I96" s="8"/>
      <c r="J96" s="8"/>
      <c r="K96" s="9"/>
      <c r="L96" s="8"/>
      <c r="M96" s="9"/>
      <c r="O96" s="74"/>
      <c r="P96" s="12"/>
      <c r="R96" s="13"/>
      <c r="S96" s="12"/>
      <c r="T96" s="12"/>
      <c r="U96" s="12"/>
    </row>
    <row r="97" spans="1:10" x14ac:dyDescent="0.2">
      <c r="A97" s="82"/>
      <c r="B97" s="70"/>
      <c r="C97" s="70"/>
      <c r="D97" s="8"/>
      <c r="E97" s="8"/>
      <c r="I97" s="8"/>
      <c r="J97" s="8"/>
    </row>
    <row r="98" spans="1:10" x14ac:dyDescent="0.2">
      <c r="A98" s="82"/>
      <c r="B98" s="70"/>
      <c r="C98" s="70"/>
      <c r="D98" s="8"/>
      <c r="E98" s="8"/>
      <c r="I98" s="8"/>
      <c r="J98" s="8"/>
    </row>
    <row r="99" spans="1:10" x14ac:dyDescent="0.2">
      <c r="A99" s="82"/>
      <c r="B99" s="70"/>
      <c r="C99" s="70"/>
      <c r="D99" s="8"/>
      <c r="E99" s="8"/>
      <c r="I99" s="8"/>
      <c r="J99" s="8"/>
    </row>
    <row r="100" spans="1:10" x14ac:dyDescent="0.2">
      <c r="A100" s="82"/>
      <c r="B100" s="70"/>
      <c r="C100" s="70"/>
      <c r="D100" s="8"/>
      <c r="E100" s="8"/>
      <c r="I100" s="8"/>
      <c r="J100" s="8"/>
    </row>
    <row r="101" spans="1:10" x14ac:dyDescent="0.2">
      <c r="A101" s="82"/>
      <c r="B101" s="70"/>
      <c r="C101" s="70"/>
      <c r="D101" s="8"/>
      <c r="E101" s="8"/>
      <c r="I101" s="8"/>
      <c r="J101" s="8"/>
    </row>
    <row r="102" spans="1:10" x14ac:dyDescent="0.2">
      <c r="A102" s="82"/>
      <c r="B102" s="70"/>
      <c r="C102" s="70"/>
      <c r="D102" s="8"/>
      <c r="E102" s="8"/>
      <c r="I102" s="8"/>
      <c r="J102" s="8"/>
    </row>
    <row r="103" spans="1:10" x14ac:dyDescent="0.2">
      <c r="A103" s="82"/>
      <c r="B103" s="70"/>
      <c r="C103" s="70"/>
      <c r="D103" s="8"/>
      <c r="E103" s="8"/>
      <c r="I103" s="8"/>
      <c r="J103" s="8"/>
    </row>
    <row r="104" spans="1:10" x14ac:dyDescent="0.2">
      <c r="A104" s="82"/>
      <c r="B104" s="70"/>
      <c r="C104" s="70"/>
      <c r="D104" s="8"/>
      <c r="E104" s="8"/>
      <c r="I104" s="8"/>
      <c r="J104" s="8"/>
    </row>
    <row r="105" spans="1:10" x14ac:dyDescent="0.2">
      <c r="A105" s="82"/>
      <c r="B105" s="70"/>
      <c r="C105" s="70"/>
      <c r="D105" s="8"/>
      <c r="E105" s="8"/>
      <c r="I105" s="8"/>
      <c r="J105" s="8"/>
    </row>
    <row r="106" spans="1:10" x14ac:dyDescent="0.2">
      <c r="A106" s="82"/>
      <c r="B106" s="70"/>
      <c r="C106" s="70"/>
      <c r="D106" s="8"/>
      <c r="E106" s="8"/>
      <c r="I106" s="8"/>
      <c r="J106" s="8"/>
    </row>
    <row r="107" spans="1:10" x14ac:dyDescent="0.2">
      <c r="A107" s="82"/>
      <c r="B107" s="70"/>
      <c r="C107" s="70"/>
      <c r="D107" s="8"/>
      <c r="E107" s="8"/>
      <c r="I107" s="8"/>
      <c r="J107" s="8"/>
    </row>
    <row r="108" spans="1:10" x14ac:dyDescent="0.2">
      <c r="A108" s="82"/>
      <c r="B108" s="70"/>
      <c r="C108" s="70"/>
      <c r="D108" s="8"/>
      <c r="E108" s="8"/>
      <c r="I108" s="8"/>
      <c r="J108" s="8"/>
    </row>
    <row r="109" spans="1:10" x14ac:dyDescent="0.2">
      <c r="A109" s="82"/>
      <c r="B109" s="70"/>
      <c r="C109" s="70"/>
      <c r="D109" s="8"/>
      <c r="E109" s="8"/>
      <c r="I109" s="8"/>
      <c r="J109" s="8"/>
    </row>
    <row r="110" spans="1:10" x14ac:dyDescent="0.2">
      <c r="A110" s="82"/>
      <c r="B110" s="70"/>
      <c r="C110" s="70"/>
      <c r="D110" s="8"/>
      <c r="E110" s="8"/>
      <c r="I110" s="8"/>
      <c r="J110" s="8"/>
    </row>
    <row r="111" spans="1:10" x14ac:dyDescent="0.2">
      <c r="A111" s="82"/>
      <c r="B111" s="70"/>
      <c r="C111" s="70"/>
      <c r="D111" s="8"/>
      <c r="E111" s="8"/>
      <c r="I111" s="8"/>
      <c r="J111" s="8"/>
    </row>
    <row r="112" spans="1:10" x14ac:dyDescent="0.2">
      <c r="A112" s="82"/>
      <c r="B112" s="70"/>
      <c r="C112" s="70"/>
      <c r="D112" s="8"/>
      <c r="E112" s="8"/>
      <c r="I112" s="8"/>
      <c r="J112" s="8"/>
    </row>
    <row r="113" spans="1:10" x14ac:dyDescent="0.2">
      <c r="A113" s="82"/>
      <c r="B113" s="70"/>
      <c r="C113" s="70"/>
      <c r="D113" s="8"/>
      <c r="E113" s="8"/>
      <c r="I113" s="8"/>
      <c r="J113" s="8"/>
    </row>
    <row r="114" spans="1:10" x14ac:dyDescent="0.2">
      <c r="A114" s="82"/>
      <c r="B114" s="70"/>
      <c r="C114" s="70"/>
      <c r="D114" s="8"/>
      <c r="E114" s="8"/>
      <c r="I114" s="8"/>
      <c r="J114" s="8"/>
    </row>
    <row r="115" spans="1:10" x14ac:dyDescent="0.2">
      <c r="A115" s="82"/>
      <c r="B115" s="70"/>
      <c r="C115" s="70"/>
      <c r="D115" s="8"/>
      <c r="E115" s="8"/>
      <c r="I115" s="8"/>
      <c r="J115" s="8"/>
    </row>
    <row r="116" spans="1:10" x14ac:dyDescent="0.2">
      <c r="A116" s="82"/>
      <c r="B116" s="70"/>
      <c r="C116" s="70"/>
      <c r="D116" s="8"/>
      <c r="E116" s="8"/>
      <c r="I116" s="8"/>
      <c r="J116" s="8"/>
    </row>
    <row r="117" spans="1:10" x14ac:dyDescent="0.2">
      <c r="A117" s="82"/>
      <c r="B117" s="70"/>
      <c r="C117" s="70"/>
      <c r="D117" s="8"/>
      <c r="E117" s="8"/>
      <c r="I117" s="8"/>
      <c r="J117" s="8"/>
    </row>
    <row r="118" spans="1:10" x14ac:dyDescent="0.2">
      <c r="A118" s="82"/>
      <c r="B118" s="70"/>
      <c r="C118" s="70"/>
      <c r="D118" s="8"/>
      <c r="E118" s="8"/>
      <c r="I118" s="8"/>
      <c r="J118" s="8"/>
    </row>
    <row r="119" spans="1:10" x14ac:dyDescent="0.2">
      <c r="A119" s="82"/>
      <c r="B119" s="70"/>
      <c r="C119" s="70"/>
      <c r="D119" s="8"/>
      <c r="E119" s="8"/>
      <c r="I119" s="8"/>
      <c r="J119" s="8"/>
    </row>
    <row r="120" spans="1:10" x14ac:dyDescent="0.2">
      <c r="A120" s="82"/>
      <c r="B120" s="70"/>
      <c r="C120" s="70"/>
      <c r="D120" s="8"/>
      <c r="E120" s="8"/>
      <c r="I120" s="8"/>
      <c r="J120" s="8"/>
    </row>
    <row r="121" spans="1:10" x14ac:dyDescent="0.2">
      <c r="A121" s="82"/>
      <c r="B121" s="70"/>
      <c r="C121" s="70"/>
      <c r="D121" s="8"/>
      <c r="E121" s="8"/>
      <c r="I121" s="8"/>
      <c r="J121" s="8"/>
    </row>
    <row r="122" spans="1:10" x14ac:dyDescent="0.2">
      <c r="A122" s="82"/>
      <c r="B122" s="70"/>
      <c r="C122" s="70"/>
      <c r="D122" s="8"/>
      <c r="E122" s="8"/>
      <c r="I122" s="8"/>
      <c r="J122" s="8"/>
    </row>
    <row r="123" spans="1:10" x14ac:dyDescent="0.2">
      <c r="A123" s="82"/>
      <c r="B123" s="70"/>
      <c r="C123" s="70"/>
      <c r="D123" s="8"/>
      <c r="E123" s="8"/>
      <c r="I123" s="8"/>
      <c r="J123" s="8"/>
    </row>
    <row r="124" spans="1:10" x14ac:dyDescent="0.2">
      <c r="A124" s="82"/>
      <c r="B124" s="70"/>
      <c r="C124" s="70"/>
      <c r="D124" s="8"/>
      <c r="E124" s="8"/>
      <c r="I124" s="8"/>
      <c r="J124" s="8"/>
    </row>
    <row r="125" spans="1:10" x14ac:dyDescent="0.2">
      <c r="A125" s="82"/>
      <c r="B125" s="70"/>
      <c r="C125" s="70"/>
      <c r="D125" s="8"/>
      <c r="E125" s="8"/>
      <c r="I125" s="8"/>
      <c r="J125" s="8"/>
    </row>
    <row r="126" spans="1:10" x14ac:dyDescent="0.2">
      <c r="A126" s="82"/>
      <c r="B126" s="70"/>
      <c r="C126" s="70"/>
      <c r="D126" s="8"/>
      <c r="E126" s="8"/>
      <c r="I126" s="8"/>
      <c r="J126" s="8"/>
    </row>
    <row r="127" spans="1:10" x14ac:dyDescent="0.2">
      <c r="A127" s="82"/>
      <c r="B127" s="70"/>
      <c r="C127" s="70"/>
      <c r="D127" s="8"/>
      <c r="E127" s="8"/>
      <c r="I127" s="8"/>
      <c r="J127" s="8"/>
    </row>
    <row r="128" spans="1:10" x14ac:dyDescent="0.2">
      <c r="A128" s="82"/>
      <c r="B128" s="70"/>
      <c r="C128" s="70"/>
      <c r="D128" s="8"/>
      <c r="E128" s="8"/>
      <c r="I128" s="8"/>
      <c r="J128" s="8"/>
    </row>
    <row r="129" spans="1:10" x14ac:dyDescent="0.2">
      <c r="A129" s="82"/>
      <c r="B129" s="70"/>
      <c r="C129" s="70"/>
      <c r="D129" s="8"/>
      <c r="E129" s="8"/>
      <c r="I129" s="8"/>
      <c r="J129" s="8"/>
    </row>
    <row r="130" spans="1:10" x14ac:dyDescent="0.2">
      <c r="A130" s="82"/>
      <c r="B130" s="70"/>
      <c r="C130" s="70"/>
      <c r="D130" s="8"/>
      <c r="E130" s="8"/>
      <c r="I130" s="8"/>
      <c r="J130" s="8"/>
    </row>
    <row r="131" spans="1:10" x14ac:dyDescent="0.2">
      <c r="A131" s="82"/>
      <c r="B131" s="70"/>
      <c r="C131" s="70"/>
      <c r="D131" s="8"/>
      <c r="E131" s="8"/>
      <c r="I131" s="8"/>
      <c r="J131" s="8"/>
    </row>
    <row r="132" spans="1:10" x14ac:dyDescent="0.2">
      <c r="A132" s="82"/>
      <c r="B132" s="70"/>
      <c r="C132" s="70"/>
      <c r="D132" s="8"/>
      <c r="E132" s="8"/>
      <c r="I132" s="8"/>
      <c r="J132" s="8"/>
    </row>
    <row r="133" spans="1:10" x14ac:dyDescent="0.2">
      <c r="A133" s="82"/>
      <c r="B133" s="70"/>
      <c r="C133" s="70"/>
      <c r="D133" s="8"/>
      <c r="E133" s="8"/>
      <c r="I133" s="8"/>
      <c r="J133" s="8"/>
    </row>
    <row r="134" spans="1:10" x14ac:dyDescent="0.2">
      <c r="A134" s="82"/>
      <c r="B134" s="70"/>
      <c r="C134" s="70"/>
      <c r="D134" s="8"/>
      <c r="E134" s="8"/>
      <c r="I134" s="8"/>
      <c r="J134" s="8"/>
    </row>
    <row r="135" spans="1:10" x14ac:dyDescent="0.2">
      <c r="A135" s="82"/>
      <c r="B135" s="70"/>
      <c r="C135" s="70"/>
      <c r="D135" s="8"/>
      <c r="E135" s="8"/>
      <c r="I135" s="8"/>
      <c r="J135" s="8"/>
    </row>
    <row r="136" spans="1:10" x14ac:dyDescent="0.2">
      <c r="A136" s="82"/>
      <c r="B136" s="70"/>
      <c r="C136" s="70"/>
      <c r="D136" s="8"/>
      <c r="E136" s="8"/>
      <c r="I136" s="8"/>
      <c r="J136" s="8"/>
    </row>
    <row r="137" spans="1:10" x14ac:dyDescent="0.2">
      <c r="A137" s="82"/>
      <c r="B137" s="70"/>
      <c r="C137" s="70"/>
      <c r="D137" s="8"/>
      <c r="E137" s="8"/>
      <c r="I137" s="8"/>
      <c r="J137" s="8"/>
    </row>
    <row r="138" spans="1:10" x14ac:dyDescent="0.2">
      <c r="A138" s="82"/>
      <c r="B138" s="70"/>
      <c r="C138" s="70"/>
      <c r="D138" s="8"/>
      <c r="E138" s="8"/>
      <c r="I138" s="8"/>
      <c r="J138" s="8"/>
    </row>
    <row r="139" spans="1:10" x14ac:dyDescent="0.2">
      <c r="A139" s="82"/>
      <c r="B139" s="70"/>
      <c r="C139" s="70"/>
      <c r="D139" s="8"/>
      <c r="E139" s="8"/>
      <c r="I139" s="8"/>
      <c r="J139" s="8"/>
    </row>
    <row r="140" spans="1:10" x14ac:dyDescent="0.2">
      <c r="A140" s="82"/>
      <c r="B140" s="70"/>
      <c r="C140" s="70"/>
      <c r="D140" s="8"/>
      <c r="E140" s="8"/>
      <c r="I140" s="8"/>
      <c r="J140" s="8"/>
    </row>
    <row r="141" spans="1:10" x14ac:dyDescent="0.2">
      <c r="A141" s="82"/>
      <c r="B141" s="70"/>
      <c r="C141" s="70"/>
      <c r="D141" s="8"/>
      <c r="E141" s="8"/>
      <c r="I141" s="8"/>
      <c r="J141" s="8"/>
    </row>
    <row r="142" spans="1:10" x14ac:dyDescent="0.2">
      <c r="A142" s="82"/>
      <c r="B142" s="70"/>
      <c r="C142" s="70"/>
      <c r="D142" s="8"/>
      <c r="E142" s="8"/>
      <c r="I142" s="8"/>
      <c r="J142" s="8"/>
    </row>
    <row r="143" spans="1:10" x14ac:dyDescent="0.2">
      <c r="A143" s="82"/>
      <c r="B143" s="70"/>
      <c r="C143" s="70"/>
      <c r="D143" s="8"/>
      <c r="E143" s="8"/>
      <c r="I143" s="8"/>
      <c r="J143" s="8"/>
    </row>
    <row r="144" spans="1:10" x14ac:dyDescent="0.2">
      <c r="A144" s="82"/>
      <c r="B144" s="70"/>
      <c r="C144" s="70"/>
      <c r="D144" s="8"/>
      <c r="E144" s="8"/>
      <c r="I144" s="8"/>
      <c r="J144" s="8"/>
    </row>
    <row r="145" spans="1:10" x14ac:dyDescent="0.2">
      <c r="A145" s="82"/>
      <c r="B145" s="70"/>
      <c r="C145" s="70"/>
      <c r="D145" s="8"/>
      <c r="E145" s="8"/>
      <c r="I145" s="8"/>
      <c r="J145" s="8"/>
    </row>
    <row r="146" spans="1:10" x14ac:dyDescent="0.2">
      <c r="A146" s="82"/>
      <c r="B146" s="70"/>
      <c r="C146" s="70"/>
      <c r="D146" s="8"/>
      <c r="E146" s="8"/>
      <c r="I146" s="8"/>
      <c r="J146" s="8"/>
    </row>
    <row r="147" spans="1:10" x14ac:dyDescent="0.2">
      <c r="A147" s="82"/>
      <c r="B147" s="70"/>
      <c r="C147" s="70"/>
      <c r="D147" s="8"/>
      <c r="E147" s="8"/>
      <c r="I147" s="8"/>
      <c r="J147" s="8"/>
    </row>
    <row r="148" spans="1:10" x14ac:dyDescent="0.2">
      <c r="A148" s="82"/>
      <c r="B148" s="70"/>
      <c r="C148" s="70"/>
      <c r="D148" s="8"/>
      <c r="E148" s="8"/>
      <c r="I148" s="8"/>
      <c r="J148" s="8"/>
    </row>
    <row r="149" spans="1:10" x14ac:dyDescent="0.2">
      <c r="A149" s="82"/>
      <c r="B149" s="70"/>
      <c r="C149" s="70"/>
      <c r="D149" s="8"/>
      <c r="E149" s="8"/>
      <c r="I149" s="8"/>
      <c r="J149" s="8"/>
    </row>
    <row r="150" spans="1:10" x14ac:dyDescent="0.2">
      <c r="A150" s="82"/>
      <c r="B150" s="70"/>
      <c r="C150" s="70"/>
      <c r="D150" s="8"/>
      <c r="E150" s="8"/>
      <c r="I150" s="8"/>
      <c r="J150" s="8"/>
    </row>
    <row r="151" spans="1:10" x14ac:dyDescent="0.2">
      <c r="A151" s="82"/>
      <c r="B151" s="70"/>
      <c r="C151" s="70"/>
      <c r="D151" s="8"/>
      <c r="E151" s="8"/>
      <c r="I151" s="8"/>
      <c r="J151" s="8"/>
    </row>
    <row r="152" spans="1:10" x14ac:dyDescent="0.2">
      <c r="A152" s="82"/>
      <c r="B152" s="70"/>
      <c r="C152" s="70"/>
      <c r="D152" s="8"/>
      <c r="E152" s="8"/>
      <c r="I152" s="8"/>
      <c r="J152" s="8"/>
    </row>
    <row r="153" spans="1:10" x14ac:dyDescent="0.2">
      <c r="A153" s="82"/>
      <c r="B153" s="70"/>
      <c r="C153" s="70"/>
      <c r="D153" s="8"/>
      <c r="E153" s="8"/>
      <c r="I153" s="8"/>
      <c r="J153" s="8"/>
    </row>
    <row r="154" spans="1:10" x14ac:dyDescent="0.2">
      <c r="A154" s="82"/>
      <c r="B154" s="70"/>
      <c r="C154" s="70"/>
      <c r="D154" s="8"/>
      <c r="E154" s="8"/>
      <c r="I154" s="8"/>
      <c r="J154" s="8"/>
    </row>
    <row r="155" spans="1:10" x14ac:dyDescent="0.2">
      <c r="A155" s="82"/>
      <c r="B155" s="70"/>
      <c r="C155" s="70"/>
      <c r="D155" s="8"/>
      <c r="E155" s="8"/>
      <c r="I155" s="8"/>
      <c r="J155" s="8"/>
    </row>
    <row r="156" spans="1:10" x14ac:dyDescent="0.2">
      <c r="A156" s="82"/>
      <c r="B156" s="70"/>
      <c r="C156" s="70"/>
      <c r="D156" s="8"/>
      <c r="E156" s="8"/>
      <c r="I156" s="8"/>
      <c r="J156" s="8"/>
    </row>
    <row r="157" spans="1:10" x14ac:dyDescent="0.2">
      <c r="A157" s="82"/>
      <c r="B157" s="70"/>
      <c r="C157" s="70"/>
      <c r="D157" s="8"/>
      <c r="E157" s="8"/>
      <c r="I157" s="8"/>
      <c r="J157" s="8"/>
    </row>
    <row r="158" spans="1:10" x14ac:dyDescent="0.2">
      <c r="A158" s="82"/>
      <c r="B158" s="70"/>
      <c r="C158" s="70"/>
      <c r="D158" s="8"/>
      <c r="E158" s="8"/>
      <c r="I158" s="8"/>
      <c r="J158" s="8"/>
    </row>
    <row r="159" spans="1:10" x14ac:dyDescent="0.2">
      <c r="A159" s="82"/>
      <c r="B159" s="70"/>
      <c r="C159" s="70"/>
      <c r="D159" s="8"/>
      <c r="E159" s="8"/>
      <c r="I159" s="8"/>
      <c r="J159" s="8"/>
    </row>
    <row r="160" spans="1:10" x14ac:dyDescent="0.2">
      <c r="A160" s="82"/>
      <c r="B160" s="70"/>
      <c r="C160" s="70"/>
      <c r="D160" s="8"/>
      <c r="E160" s="8"/>
      <c r="I160" s="8"/>
      <c r="J160" s="8"/>
    </row>
    <row r="161" spans="1:10" x14ac:dyDescent="0.2">
      <c r="A161" s="82"/>
      <c r="B161" s="70"/>
      <c r="C161" s="70"/>
      <c r="D161" s="8"/>
      <c r="E161" s="8"/>
      <c r="I161" s="8"/>
      <c r="J161" s="8"/>
    </row>
    <row r="162" spans="1:10" x14ac:dyDescent="0.2">
      <c r="A162" s="82"/>
      <c r="B162" s="70"/>
      <c r="C162" s="70"/>
      <c r="D162" s="8"/>
      <c r="E162" s="8"/>
      <c r="I162" s="8"/>
      <c r="J162" s="8"/>
    </row>
    <row r="163" spans="1:10" x14ac:dyDescent="0.2">
      <c r="A163" s="82"/>
      <c r="B163" s="70"/>
      <c r="C163" s="70"/>
      <c r="D163" s="8"/>
      <c r="E163" s="8"/>
      <c r="I163" s="8"/>
      <c r="J163" s="8"/>
    </row>
    <row r="164" spans="1:10" x14ac:dyDescent="0.2">
      <c r="A164" s="82"/>
      <c r="B164" s="70"/>
      <c r="C164" s="70"/>
      <c r="D164" s="8"/>
      <c r="E164" s="8"/>
      <c r="I164" s="8"/>
      <c r="J164" s="8"/>
    </row>
    <row r="165" spans="1:10" x14ac:dyDescent="0.2">
      <c r="A165" s="82"/>
      <c r="B165" s="70"/>
      <c r="C165" s="70"/>
      <c r="D165" s="8"/>
      <c r="E165" s="8"/>
      <c r="I165" s="8"/>
      <c r="J165" s="8"/>
    </row>
    <row r="166" spans="1:10" x14ac:dyDescent="0.2">
      <c r="A166" s="82"/>
      <c r="B166" s="70"/>
      <c r="C166" s="70"/>
      <c r="D166" s="8"/>
      <c r="E166" s="8"/>
      <c r="I166" s="8"/>
      <c r="J166" s="8"/>
    </row>
    <row r="167" spans="1:10" x14ac:dyDescent="0.2">
      <c r="A167" s="82"/>
      <c r="B167" s="70"/>
      <c r="C167" s="70"/>
      <c r="D167" s="8"/>
      <c r="E167" s="8"/>
      <c r="I167" s="8"/>
      <c r="J167" s="8"/>
    </row>
    <row r="168" spans="1:10" x14ac:dyDescent="0.2">
      <c r="A168" s="82"/>
      <c r="B168" s="70"/>
      <c r="C168" s="70"/>
      <c r="D168" s="8"/>
      <c r="E168" s="8"/>
      <c r="I168" s="8"/>
      <c r="J168" s="8"/>
    </row>
    <row r="169" spans="1:10" x14ac:dyDescent="0.2">
      <c r="A169" s="82"/>
      <c r="B169" s="70"/>
      <c r="C169" s="70"/>
      <c r="D169" s="8"/>
      <c r="E169" s="8"/>
      <c r="I169" s="8"/>
      <c r="J169" s="8"/>
    </row>
    <row r="170" spans="1:10" x14ac:dyDescent="0.2">
      <c r="A170" s="82"/>
      <c r="B170" s="70"/>
      <c r="C170" s="70"/>
      <c r="D170" s="8"/>
      <c r="E170" s="8"/>
      <c r="I170" s="8"/>
      <c r="J170" s="8"/>
    </row>
    <row r="171" spans="1:10" x14ac:dyDescent="0.2">
      <c r="A171" s="82"/>
      <c r="B171" s="70"/>
      <c r="C171" s="70"/>
      <c r="D171" s="8"/>
      <c r="E171" s="8"/>
      <c r="I171" s="8"/>
      <c r="J171" s="8"/>
    </row>
    <row r="172" spans="1:10" x14ac:dyDescent="0.2">
      <c r="A172" s="82"/>
      <c r="B172" s="70"/>
      <c r="C172" s="70"/>
      <c r="D172" s="8"/>
      <c r="E172" s="8"/>
      <c r="I172" s="8"/>
      <c r="J172" s="8"/>
    </row>
    <row r="173" spans="1:10" x14ac:dyDescent="0.2">
      <c r="A173" s="82"/>
      <c r="B173" s="70"/>
      <c r="C173" s="70"/>
      <c r="D173" s="8"/>
      <c r="E173" s="8"/>
      <c r="I173" s="8"/>
      <c r="J173" s="8"/>
    </row>
    <row r="174" spans="1:10" x14ac:dyDescent="0.2">
      <c r="A174" s="82"/>
      <c r="B174" s="70"/>
      <c r="C174" s="70"/>
      <c r="D174" s="8"/>
      <c r="E174" s="8"/>
      <c r="I174" s="8"/>
      <c r="J174" s="8"/>
    </row>
    <row r="175" spans="1:10" x14ac:dyDescent="0.2">
      <c r="A175" s="82"/>
      <c r="B175" s="70"/>
      <c r="C175" s="70"/>
      <c r="D175" s="8"/>
      <c r="E175" s="8"/>
      <c r="I175" s="8"/>
      <c r="J175" s="8"/>
    </row>
    <row r="176" spans="1:10" x14ac:dyDescent="0.2">
      <c r="A176" s="82"/>
      <c r="B176" s="70"/>
      <c r="C176" s="70"/>
      <c r="D176" s="8"/>
      <c r="E176" s="8"/>
      <c r="I176" s="8"/>
      <c r="J176" s="8"/>
    </row>
    <row r="177" spans="1:10" x14ac:dyDescent="0.2">
      <c r="A177" s="82"/>
      <c r="B177" s="70"/>
      <c r="C177" s="70"/>
      <c r="D177" s="8"/>
      <c r="E177" s="8"/>
      <c r="I177" s="8"/>
      <c r="J177" s="8"/>
    </row>
    <row r="178" spans="1:10" x14ac:dyDescent="0.2">
      <c r="A178" s="82"/>
      <c r="B178" s="70"/>
      <c r="C178" s="70"/>
      <c r="D178" s="8"/>
      <c r="E178" s="8"/>
      <c r="I178" s="8"/>
      <c r="J178" s="8"/>
    </row>
    <row r="179" spans="1:10" x14ac:dyDescent="0.2">
      <c r="A179" s="82"/>
      <c r="B179" s="70"/>
      <c r="C179" s="70"/>
      <c r="D179" s="8"/>
      <c r="E179" s="8"/>
      <c r="I179" s="8"/>
      <c r="J179" s="8"/>
    </row>
    <row r="180" spans="1:10" x14ac:dyDescent="0.2">
      <c r="A180" s="82"/>
      <c r="B180" s="70"/>
      <c r="C180" s="70"/>
      <c r="D180" s="8"/>
      <c r="E180" s="8"/>
      <c r="I180" s="8"/>
      <c r="J180" s="8"/>
    </row>
    <row r="181" spans="1:10" x14ac:dyDescent="0.2">
      <c r="A181" s="82"/>
      <c r="B181" s="70"/>
      <c r="C181" s="70"/>
      <c r="D181" s="8"/>
      <c r="E181" s="8"/>
      <c r="I181" s="8"/>
      <c r="J181" s="8"/>
    </row>
    <row r="182" spans="1:10" x14ac:dyDescent="0.2">
      <c r="A182" s="82"/>
      <c r="B182" s="70"/>
      <c r="C182" s="70"/>
      <c r="D182" s="8"/>
      <c r="E182" s="8"/>
      <c r="I182" s="8"/>
      <c r="J182" s="8"/>
    </row>
    <row r="183" spans="1:10" x14ac:dyDescent="0.2">
      <c r="A183" s="82"/>
      <c r="B183" s="70"/>
      <c r="C183" s="70"/>
      <c r="D183" s="8"/>
      <c r="E183" s="8"/>
      <c r="I183" s="8"/>
      <c r="J183" s="8"/>
    </row>
    <row r="184" spans="1:10" x14ac:dyDescent="0.2">
      <c r="A184" s="82"/>
      <c r="B184" s="70"/>
      <c r="C184" s="70"/>
      <c r="D184" s="8"/>
      <c r="E184" s="8"/>
      <c r="I184" s="8"/>
      <c r="J184" s="8"/>
    </row>
    <row r="185" spans="1:10" x14ac:dyDescent="0.2">
      <c r="A185" s="82"/>
      <c r="B185" s="70"/>
      <c r="C185" s="70"/>
      <c r="D185" s="8"/>
      <c r="E185" s="8"/>
      <c r="I185" s="8"/>
      <c r="J185" s="8"/>
    </row>
    <row r="186" spans="1:10" x14ac:dyDescent="0.2">
      <c r="A186" s="82"/>
      <c r="B186" s="70"/>
      <c r="C186" s="70"/>
      <c r="D186" s="8"/>
      <c r="E186" s="8"/>
      <c r="I186" s="8"/>
      <c r="J186" s="8"/>
    </row>
    <row r="187" spans="1:10" x14ac:dyDescent="0.2">
      <c r="A187" s="82"/>
      <c r="B187" s="70"/>
      <c r="C187" s="70"/>
      <c r="D187" s="8"/>
      <c r="E187" s="8"/>
      <c r="I187" s="8"/>
      <c r="J187" s="8"/>
    </row>
    <row r="188" spans="1:10" x14ac:dyDescent="0.2">
      <c r="A188" s="82"/>
      <c r="B188" s="70"/>
      <c r="C188" s="70"/>
      <c r="D188" s="8"/>
      <c r="E188" s="8"/>
      <c r="I188" s="8"/>
      <c r="J188" s="8"/>
    </row>
    <row r="189" spans="1:10" x14ac:dyDescent="0.2">
      <c r="A189" s="82"/>
      <c r="B189" s="70"/>
      <c r="C189" s="70"/>
      <c r="D189" s="8"/>
      <c r="E189" s="8"/>
      <c r="I189" s="8"/>
      <c r="J189" s="8"/>
    </row>
    <row r="190" spans="1:10" x14ac:dyDescent="0.2">
      <c r="A190" s="82"/>
      <c r="B190" s="70"/>
      <c r="C190" s="70"/>
      <c r="D190" s="8"/>
      <c r="E190" s="8"/>
      <c r="I190" s="8"/>
      <c r="J190" s="8"/>
    </row>
    <row r="191" spans="1:10" x14ac:dyDescent="0.2">
      <c r="A191" s="82"/>
      <c r="B191" s="70"/>
      <c r="C191" s="70"/>
      <c r="D191" s="8"/>
      <c r="E191" s="8"/>
      <c r="I191" s="8"/>
      <c r="J191" s="8"/>
    </row>
    <row r="192" spans="1:10" x14ac:dyDescent="0.2">
      <c r="A192" s="82"/>
      <c r="B192" s="70"/>
      <c r="C192" s="70"/>
      <c r="D192" s="8"/>
      <c r="E192" s="8"/>
      <c r="I192" s="8"/>
      <c r="J192" s="8"/>
    </row>
    <row r="193" spans="1:10" x14ac:dyDescent="0.2">
      <c r="A193" s="82"/>
      <c r="B193" s="70"/>
      <c r="C193" s="70"/>
      <c r="D193" s="8"/>
      <c r="E193" s="8"/>
      <c r="I193" s="8"/>
      <c r="J193" s="8"/>
    </row>
    <row r="194" spans="1:10" x14ac:dyDescent="0.2">
      <c r="A194" s="82"/>
      <c r="B194" s="70"/>
      <c r="C194" s="70"/>
      <c r="D194" s="8"/>
      <c r="E194" s="8"/>
      <c r="I194" s="8"/>
      <c r="J194" s="8"/>
    </row>
    <row r="195" spans="1:10" x14ac:dyDescent="0.2">
      <c r="A195" s="82"/>
      <c r="B195" s="70"/>
      <c r="C195" s="70"/>
      <c r="D195" s="8"/>
      <c r="E195" s="8"/>
      <c r="I195" s="8"/>
      <c r="J195" s="8"/>
    </row>
    <row r="196" spans="1:10" x14ac:dyDescent="0.2">
      <c r="A196" s="82"/>
      <c r="B196" s="70"/>
      <c r="C196" s="70"/>
      <c r="D196" s="8"/>
      <c r="E196" s="8"/>
      <c r="I196" s="8"/>
      <c r="J196" s="8"/>
    </row>
    <row r="197" spans="1:10" x14ac:dyDescent="0.2">
      <c r="A197" s="82"/>
      <c r="B197" s="70"/>
      <c r="C197" s="70"/>
      <c r="D197" s="8"/>
      <c r="E197" s="8"/>
      <c r="I197" s="8"/>
      <c r="J197" s="8"/>
    </row>
    <row r="198" spans="1:10" x14ac:dyDescent="0.2">
      <c r="A198" s="82"/>
      <c r="B198" s="70"/>
      <c r="C198" s="70"/>
      <c r="D198" s="8"/>
      <c r="E198" s="8"/>
      <c r="I198" s="8"/>
      <c r="J198" s="8"/>
    </row>
    <row r="199" spans="1:10" x14ac:dyDescent="0.2">
      <c r="A199" s="82"/>
      <c r="B199" s="70"/>
      <c r="C199" s="70"/>
      <c r="D199" s="8"/>
      <c r="E199" s="8"/>
      <c r="I199" s="8"/>
      <c r="J199" s="8"/>
    </row>
    <row r="200" spans="1:10" x14ac:dyDescent="0.2">
      <c r="A200" s="82"/>
      <c r="B200" s="70"/>
      <c r="C200" s="70"/>
      <c r="D200" s="8"/>
      <c r="E200" s="8"/>
      <c r="I200" s="8"/>
      <c r="J200" s="8"/>
    </row>
    <row r="201" spans="1:10" x14ac:dyDescent="0.2">
      <c r="A201" s="82"/>
      <c r="B201" s="70"/>
      <c r="C201" s="70"/>
      <c r="D201" s="8"/>
      <c r="E201" s="8"/>
      <c r="I201" s="8"/>
      <c r="J201" s="8"/>
    </row>
    <row r="202" spans="1:10" x14ac:dyDescent="0.2">
      <c r="A202" s="82"/>
      <c r="B202" s="70"/>
      <c r="C202" s="70"/>
      <c r="D202" s="8"/>
      <c r="E202" s="8"/>
      <c r="I202" s="8"/>
      <c r="J202" s="8"/>
    </row>
    <row r="203" spans="1:10" x14ac:dyDescent="0.2">
      <c r="A203" s="82"/>
      <c r="B203" s="70"/>
      <c r="C203" s="70"/>
      <c r="D203" s="8"/>
      <c r="E203" s="8"/>
      <c r="I203" s="8"/>
      <c r="J203" s="8"/>
    </row>
    <row r="204" spans="1:10" x14ac:dyDescent="0.2">
      <c r="A204" s="82"/>
      <c r="B204" s="70"/>
      <c r="C204" s="70"/>
      <c r="D204" s="8"/>
      <c r="E204" s="8"/>
      <c r="I204" s="8"/>
      <c r="J204" s="8"/>
    </row>
    <row r="205" spans="1:10" x14ac:dyDescent="0.2">
      <c r="A205" s="82"/>
      <c r="B205" s="70"/>
      <c r="C205" s="70"/>
      <c r="D205" s="8"/>
      <c r="E205" s="8"/>
      <c r="I205" s="8"/>
      <c r="J205" s="8"/>
    </row>
    <row r="206" spans="1:10" x14ac:dyDescent="0.2">
      <c r="A206" s="82"/>
      <c r="B206" s="70"/>
      <c r="C206" s="70"/>
      <c r="D206" s="8"/>
      <c r="E206" s="8"/>
      <c r="I206" s="8"/>
      <c r="J206" s="8"/>
    </row>
    <row r="207" spans="1:10" x14ac:dyDescent="0.2">
      <c r="A207" s="82"/>
      <c r="B207" s="70"/>
      <c r="C207" s="70"/>
      <c r="D207" s="8"/>
      <c r="E207" s="8"/>
      <c r="I207" s="8"/>
      <c r="J207" s="8"/>
    </row>
    <row r="208" spans="1:10" x14ac:dyDescent="0.2">
      <c r="A208" s="82"/>
      <c r="B208" s="70"/>
      <c r="C208" s="70"/>
      <c r="D208" s="8"/>
      <c r="E208" s="8"/>
      <c r="I208" s="8"/>
      <c r="J208" s="8"/>
    </row>
    <row r="209" spans="1:10" x14ac:dyDescent="0.2">
      <c r="A209" s="82"/>
      <c r="B209" s="70"/>
      <c r="C209" s="70"/>
      <c r="D209" s="8"/>
      <c r="E209" s="8"/>
      <c r="I209" s="8"/>
      <c r="J209" s="8"/>
    </row>
    <row r="210" spans="1:10" x14ac:dyDescent="0.2">
      <c r="A210" s="82"/>
      <c r="B210" s="70"/>
      <c r="C210" s="70"/>
      <c r="D210" s="8"/>
      <c r="E210" s="8"/>
      <c r="I210" s="8"/>
      <c r="J210" s="8"/>
    </row>
    <row r="211" spans="1:10" x14ac:dyDescent="0.2">
      <c r="A211" s="82"/>
      <c r="B211" s="70"/>
      <c r="C211" s="70"/>
      <c r="D211" s="8"/>
      <c r="E211" s="8"/>
      <c r="I211" s="8"/>
      <c r="J211" s="8"/>
    </row>
    <row r="212" spans="1:10" x14ac:dyDescent="0.2">
      <c r="A212" s="82"/>
      <c r="B212" s="70"/>
      <c r="C212" s="70"/>
      <c r="D212" s="8"/>
      <c r="E212" s="8"/>
      <c r="I212" s="8"/>
      <c r="J212" s="8"/>
    </row>
    <row r="213" spans="1:10" x14ac:dyDescent="0.2">
      <c r="A213" s="82"/>
      <c r="B213" s="70"/>
      <c r="C213" s="70"/>
      <c r="D213" s="8"/>
      <c r="E213" s="8"/>
      <c r="I213" s="8"/>
      <c r="J213" s="8"/>
    </row>
    <row r="214" spans="1:10" x14ac:dyDescent="0.2">
      <c r="A214" s="82"/>
      <c r="B214" s="70"/>
      <c r="C214" s="70"/>
      <c r="D214" s="8"/>
      <c r="E214" s="8"/>
      <c r="I214" s="8"/>
      <c r="J214" s="8"/>
    </row>
    <row r="215" spans="1:10" x14ac:dyDescent="0.2">
      <c r="A215" s="82"/>
      <c r="B215" s="70"/>
      <c r="C215" s="70"/>
      <c r="D215" s="8"/>
      <c r="E215" s="8"/>
      <c r="I215" s="8"/>
      <c r="J215" s="8"/>
    </row>
    <row r="216" spans="1:10" x14ac:dyDescent="0.2">
      <c r="A216" s="82"/>
      <c r="B216" s="70"/>
      <c r="C216" s="70"/>
      <c r="D216" s="8"/>
      <c r="E216" s="8"/>
      <c r="I216" s="8"/>
      <c r="J216" s="8"/>
    </row>
    <row r="217" spans="1:10" x14ac:dyDescent="0.2">
      <c r="A217" s="82"/>
      <c r="B217" s="70"/>
      <c r="C217" s="70"/>
      <c r="D217" s="8"/>
      <c r="E217" s="8"/>
      <c r="I217" s="8"/>
      <c r="J217" s="8"/>
    </row>
    <row r="218" spans="1:10" x14ac:dyDescent="0.2">
      <c r="A218" s="82"/>
      <c r="B218" s="70"/>
      <c r="C218" s="70"/>
      <c r="D218" s="8"/>
      <c r="E218" s="8"/>
      <c r="I218" s="8"/>
      <c r="J218" s="8"/>
    </row>
    <row r="219" spans="1:10" x14ac:dyDescent="0.2">
      <c r="A219" s="82"/>
      <c r="B219" s="70"/>
      <c r="C219" s="70"/>
      <c r="D219" s="8"/>
      <c r="E219" s="8"/>
      <c r="I219" s="8"/>
      <c r="J219" s="8"/>
    </row>
    <row r="220" spans="1:10" x14ac:dyDescent="0.2">
      <c r="A220" s="82"/>
      <c r="B220" s="70"/>
      <c r="C220" s="70"/>
      <c r="D220" s="8"/>
      <c r="E220" s="8"/>
      <c r="I220" s="8"/>
      <c r="J220" s="8"/>
    </row>
    <row r="221" spans="1:10" x14ac:dyDescent="0.2">
      <c r="A221" s="82"/>
      <c r="B221" s="70"/>
      <c r="C221" s="70"/>
      <c r="D221" s="8"/>
      <c r="E221" s="8"/>
      <c r="I221" s="8"/>
      <c r="J221" s="8"/>
    </row>
    <row r="222" spans="1:10" x14ac:dyDescent="0.2">
      <c r="A222" s="82"/>
      <c r="B222" s="70"/>
      <c r="C222" s="70"/>
      <c r="D222" s="8"/>
      <c r="E222" s="8"/>
      <c r="I222" s="8"/>
      <c r="J222" s="8"/>
    </row>
    <row r="223" spans="1:10" x14ac:dyDescent="0.2">
      <c r="A223" s="82"/>
      <c r="B223" s="70"/>
      <c r="C223" s="70"/>
      <c r="D223" s="8"/>
      <c r="E223" s="8"/>
      <c r="I223" s="8"/>
      <c r="J223" s="8"/>
    </row>
    <row r="224" spans="1:10" x14ac:dyDescent="0.2">
      <c r="A224" s="82"/>
      <c r="B224" s="70"/>
      <c r="C224" s="70"/>
      <c r="D224" s="8"/>
      <c r="E224" s="8"/>
      <c r="I224" s="8"/>
      <c r="J224" s="8"/>
    </row>
    <row r="225" spans="1:10" x14ac:dyDescent="0.2">
      <c r="A225" s="82"/>
      <c r="B225" s="70"/>
      <c r="C225" s="70"/>
      <c r="D225" s="8"/>
      <c r="E225" s="8"/>
      <c r="I225" s="8"/>
      <c r="J225" s="8"/>
    </row>
    <row r="226" spans="1:10" x14ac:dyDescent="0.2">
      <c r="A226" s="82"/>
      <c r="B226" s="70"/>
      <c r="C226" s="70"/>
      <c r="D226" s="8"/>
      <c r="E226" s="8"/>
      <c r="I226" s="8"/>
      <c r="J226" s="8"/>
    </row>
    <row r="227" spans="1:10" x14ac:dyDescent="0.2">
      <c r="A227" s="82"/>
      <c r="B227" s="70"/>
      <c r="C227" s="70"/>
      <c r="D227" s="8"/>
      <c r="E227" s="8"/>
      <c r="I227" s="8"/>
      <c r="J227" s="8"/>
    </row>
    <row r="228" spans="1:10" x14ac:dyDescent="0.2">
      <c r="A228" s="82"/>
      <c r="B228" s="70"/>
      <c r="C228" s="70"/>
      <c r="D228" s="8"/>
      <c r="E228" s="8"/>
      <c r="I228" s="8"/>
      <c r="J228" s="8"/>
    </row>
    <row r="229" spans="1:10" x14ac:dyDescent="0.2">
      <c r="A229" s="82"/>
      <c r="B229" s="70"/>
      <c r="C229" s="70"/>
      <c r="D229" s="8"/>
      <c r="E229" s="8"/>
      <c r="I229" s="8"/>
      <c r="J229" s="8"/>
    </row>
    <row r="230" spans="1:10" x14ac:dyDescent="0.2">
      <c r="A230" s="82"/>
      <c r="B230" s="70"/>
      <c r="C230" s="70"/>
      <c r="D230" s="8"/>
      <c r="E230" s="8"/>
      <c r="I230" s="8"/>
      <c r="J230" s="8"/>
    </row>
    <row r="231" spans="1:10" x14ac:dyDescent="0.2">
      <c r="A231" s="82"/>
      <c r="B231" s="70"/>
      <c r="C231" s="70"/>
      <c r="D231" s="8"/>
      <c r="E231" s="8"/>
      <c r="I231" s="8"/>
      <c r="J231" s="8"/>
    </row>
    <row r="232" spans="1:10" x14ac:dyDescent="0.2">
      <c r="A232" s="82"/>
      <c r="B232" s="70"/>
      <c r="C232" s="70"/>
      <c r="D232" s="8"/>
      <c r="E232" s="8"/>
      <c r="I232" s="8"/>
      <c r="J232" s="8"/>
    </row>
    <row r="233" spans="1:10" x14ac:dyDescent="0.2">
      <c r="A233" s="82"/>
      <c r="B233" s="70"/>
      <c r="C233" s="70"/>
      <c r="D233" s="8"/>
      <c r="E233" s="8"/>
      <c r="I233" s="8"/>
      <c r="J233" s="8"/>
    </row>
    <row r="234" spans="1:10" x14ac:dyDescent="0.2">
      <c r="A234" s="82"/>
      <c r="B234" s="70"/>
      <c r="C234" s="70"/>
      <c r="D234" s="8"/>
      <c r="E234" s="8"/>
      <c r="I234" s="8"/>
      <c r="J234" s="8"/>
    </row>
    <row r="235" spans="1:10" x14ac:dyDescent="0.2">
      <c r="A235" s="82"/>
      <c r="B235" s="70"/>
      <c r="C235" s="70"/>
      <c r="D235" s="8"/>
      <c r="E235" s="8"/>
      <c r="I235" s="8"/>
      <c r="J235" s="8"/>
    </row>
    <row r="236" spans="1:10" x14ac:dyDescent="0.2">
      <c r="A236" s="82"/>
      <c r="B236" s="70"/>
      <c r="C236" s="70"/>
      <c r="D236" s="8"/>
      <c r="E236" s="8"/>
      <c r="I236" s="8"/>
      <c r="J236" s="8"/>
    </row>
    <row r="237" spans="1:10" x14ac:dyDescent="0.2">
      <c r="A237" s="82"/>
      <c r="B237" s="70"/>
      <c r="C237" s="70"/>
      <c r="D237" s="8"/>
      <c r="E237" s="8"/>
      <c r="I237" s="8"/>
      <c r="J237" s="8"/>
    </row>
    <row r="238" spans="1:10" x14ac:dyDescent="0.2">
      <c r="A238" s="82"/>
      <c r="B238" s="70"/>
      <c r="C238" s="70"/>
      <c r="D238" s="8"/>
      <c r="E238" s="8"/>
      <c r="I238" s="8"/>
      <c r="J238" s="8"/>
    </row>
    <row r="239" spans="1:10" x14ac:dyDescent="0.2">
      <c r="A239" s="82"/>
      <c r="B239" s="70"/>
      <c r="C239" s="70"/>
      <c r="D239" s="8"/>
      <c r="E239" s="8"/>
      <c r="I239" s="8"/>
      <c r="J239" s="8"/>
    </row>
    <row r="240" spans="1:10" x14ac:dyDescent="0.2">
      <c r="A240" s="82"/>
      <c r="B240" s="70"/>
      <c r="C240" s="70"/>
      <c r="D240" s="8"/>
      <c r="E240" s="8"/>
      <c r="I240" s="8"/>
      <c r="J240" s="8"/>
    </row>
    <row r="241" spans="1:10" x14ac:dyDescent="0.2">
      <c r="A241" s="82"/>
      <c r="B241" s="70"/>
      <c r="C241" s="70"/>
      <c r="D241" s="8"/>
      <c r="E241" s="8"/>
      <c r="I241" s="8"/>
      <c r="J241" s="8"/>
    </row>
    <row r="242" spans="1:10" x14ac:dyDescent="0.2">
      <c r="A242" s="82"/>
      <c r="B242" s="70"/>
      <c r="C242" s="70"/>
      <c r="D242" s="8"/>
      <c r="E242" s="8"/>
      <c r="I242" s="8"/>
      <c r="J242" s="8"/>
    </row>
    <row r="243" spans="1:10" x14ac:dyDescent="0.2">
      <c r="A243" s="82"/>
      <c r="B243" s="70"/>
      <c r="C243" s="70"/>
      <c r="D243" s="8"/>
      <c r="E243" s="8"/>
      <c r="I243" s="8"/>
      <c r="J243" s="8"/>
    </row>
    <row r="244" spans="1:10" x14ac:dyDescent="0.2">
      <c r="A244" s="82"/>
      <c r="B244" s="70"/>
      <c r="C244" s="70"/>
      <c r="D244" s="8"/>
      <c r="E244" s="8"/>
      <c r="I244" s="8"/>
      <c r="J244" s="8"/>
    </row>
    <row r="245" spans="1:10" x14ac:dyDescent="0.2">
      <c r="A245" s="82"/>
      <c r="B245" s="70"/>
      <c r="C245" s="70"/>
      <c r="D245" s="8"/>
      <c r="E245" s="8"/>
      <c r="I245" s="8"/>
      <c r="J245" s="8"/>
    </row>
    <row r="246" spans="1:10" x14ac:dyDescent="0.2">
      <c r="A246" s="82"/>
      <c r="B246" s="70"/>
      <c r="C246" s="70"/>
      <c r="D246" s="8"/>
      <c r="E246" s="8"/>
      <c r="I246" s="8"/>
      <c r="J246" s="8"/>
    </row>
    <row r="247" spans="1:10" x14ac:dyDescent="0.2">
      <c r="A247" s="82"/>
      <c r="B247" s="70"/>
      <c r="C247" s="70"/>
      <c r="D247" s="8"/>
      <c r="E247" s="8"/>
      <c r="I247" s="8"/>
      <c r="J247" s="8"/>
    </row>
    <row r="248" spans="1:10" x14ac:dyDescent="0.2">
      <c r="A248" s="82"/>
      <c r="B248" s="70"/>
      <c r="C248" s="70"/>
      <c r="D248" s="8"/>
      <c r="E248" s="8"/>
      <c r="I248" s="8"/>
      <c r="J248" s="8"/>
    </row>
    <row r="249" spans="1:10" x14ac:dyDescent="0.2">
      <c r="A249" s="82"/>
      <c r="B249" s="70"/>
      <c r="C249" s="70"/>
      <c r="D249" s="8"/>
      <c r="E249" s="8"/>
      <c r="I249" s="8"/>
      <c r="J249" s="8"/>
    </row>
    <row r="250" spans="1:10" x14ac:dyDescent="0.2">
      <c r="A250" s="82"/>
      <c r="B250" s="70"/>
      <c r="C250" s="70"/>
      <c r="D250" s="8"/>
      <c r="E250" s="8"/>
      <c r="I250" s="8"/>
      <c r="J250" s="8"/>
    </row>
    <row r="251" spans="1:10" x14ac:dyDescent="0.2">
      <c r="A251" s="82"/>
      <c r="B251" s="70"/>
      <c r="C251" s="70"/>
      <c r="D251" s="8"/>
      <c r="E251" s="8"/>
      <c r="I251" s="8"/>
      <c r="J251" s="8"/>
    </row>
    <row r="252" spans="1:10" x14ac:dyDescent="0.2">
      <c r="A252" s="82"/>
      <c r="B252" s="70"/>
      <c r="C252" s="70"/>
      <c r="D252" s="8"/>
      <c r="E252" s="8"/>
      <c r="I252" s="8"/>
      <c r="J252" s="8"/>
    </row>
    <row r="253" spans="1:10" x14ac:dyDescent="0.2">
      <c r="A253" s="82"/>
      <c r="B253" s="70"/>
      <c r="C253" s="70"/>
      <c r="D253" s="8"/>
      <c r="E253" s="8"/>
      <c r="I253" s="8"/>
      <c r="J253" s="8"/>
    </row>
    <row r="254" spans="1:10" x14ac:dyDescent="0.2">
      <c r="A254" s="82"/>
      <c r="B254" s="70"/>
      <c r="C254" s="70"/>
      <c r="D254" s="8"/>
      <c r="E254" s="8"/>
      <c r="I254" s="8"/>
      <c r="J254" s="8"/>
    </row>
    <row r="255" spans="1:10" x14ac:dyDescent="0.2">
      <c r="A255" s="82"/>
      <c r="B255" s="70"/>
      <c r="C255" s="70"/>
      <c r="D255" s="8"/>
      <c r="E255" s="8"/>
      <c r="I255" s="8"/>
      <c r="J255" s="8"/>
    </row>
    <row r="256" spans="1:10" x14ac:dyDescent="0.2">
      <c r="A256" s="82"/>
      <c r="B256" s="70"/>
      <c r="C256" s="70"/>
      <c r="D256" s="8"/>
      <c r="E256" s="8"/>
      <c r="I256" s="8"/>
      <c r="J256" s="8"/>
    </row>
    <row r="257" spans="1:10" x14ac:dyDescent="0.2">
      <c r="A257" s="82"/>
      <c r="B257" s="70"/>
      <c r="C257" s="70"/>
      <c r="D257" s="8"/>
      <c r="E257" s="8"/>
      <c r="I257" s="8"/>
      <c r="J257" s="8"/>
    </row>
    <row r="258" spans="1:10" x14ac:dyDescent="0.2">
      <c r="A258" s="82"/>
      <c r="B258" s="70"/>
      <c r="C258" s="70"/>
      <c r="D258" s="8"/>
      <c r="E258" s="8"/>
      <c r="I258" s="8"/>
      <c r="J258" s="8"/>
    </row>
    <row r="259" spans="1:10" x14ac:dyDescent="0.2">
      <c r="A259" s="82"/>
      <c r="B259" s="70"/>
      <c r="C259" s="70"/>
      <c r="D259" s="8"/>
      <c r="E259" s="8"/>
      <c r="I259" s="8"/>
      <c r="J259" s="8"/>
    </row>
    <row r="260" spans="1:10" x14ac:dyDescent="0.2">
      <c r="A260" s="82"/>
      <c r="B260" s="70"/>
      <c r="C260" s="70"/>
      <c r="D260" s="8"/>
      <c r="E260" s="8"/>
      <c r="I260" s="8"/>
      <c r="J260" s="8"/>
    </row>
    <row r="261" spans="1:10" x14ac:dyDescent="0.2">
      <c r="A261" s="82"/>
      <c r="B261" s="70"/>
      <c r="C261" s="70"/>
      <c r="D261" s="8"/>
      <c r="E261" s="8"/>
      <c r="I261" s="8"/>
      <c r="J261" s="8"/>
    </row>
    <row r="262" spans="1:10" x14ac:dyDescent="0.2">
      <c r="A262" s="82"/>
      <c r="B262" s="70"/>
      <c r="C262" s="70"/>
      <c r="D262" s="8"/>
      <c r="E262" s="8"/>
      <c r="I262" s="8"/>
      <c r="J262" s="8"/>
    </row>
    <row r="263" spans="1:10" x14ac:dyDescent="0.2">
      <c r="A263" s="82"/>
      <c r="B263" s="70"/>
      <c r="C263" s="70"/>
      <c r="D263" s="8"/>
      <c r="E263" s="8"/>
      <c r="I263" s="8"/>
      <c r="J263" s="8"/>
    </row>
    <row r="264" spans="1:10" x14ac:dyDescent="0.2">
      <c r="A264" s="82"/>
      <c r="B264" s="70"/>
      <c r="C264" s="70"/>
      <c r="D264" s="8"/>
      <c r="E264" s="8"/>
      <c r="I264" s="8"/>
      <c r="J264" s="8"/>
    </row>
    <row r="265" spans="1:10" x14ac:dyDescent="0.2">
      <c r="A265" s="82"/>
      <c r="B265" s="70"/>
      <c r="C265" s="70"/>
      <c r="D265" s="8"/>
      <c r="E265" s="8"/>
      <c r="I265" s="8"/>
      <c r="J265" s="8"/>
    </row>
    <row r="266" spans="1:10" x14ac:dyDescent="0.2">
      <c r="A266" s="82"/>
      <c r="B266" s="70"/>
      <c r="C266" s="70"/>
      <c r="D266" s="8"/>
      <c r="E266" s="8"/>
      <c r="I266" s="8"/>
      <c r="J266" s="8"/>
    </row>
    <row r="267" spans="1:10" x14ac:dyDescent="0.2">
      <c r="A267" s="82"/>
      <c r="B267" s="70"/>
      <c r="C267" s="70"/>
      <c r="D267" s="8"/>
      <c r="E267" s="8"/>
      <c r="I267" s="8"/>
      <c r="J267" s="8"/>
    </row>
    <row r="268" spans="1:10" x14ac:dyDescent="0.2">
      <c r="A268" s="82"/>
      <c r="B268" s="70"/>
      <c r="C268" s="70"/>
      <c r="D268" s="8"/>
      <c r="E268" s="8"/>
      <c r="I268" s="8"/>
      <c r="J268" s="8"/>
    </row>
    <row r="269" spans="1:10" x14ac:dyDescent="0.2">
      <c r="A269" s="82"/>
      <c r="B269" s="70"/>
      <c r="C269" s="70"/>
      <c r="D269" s="8"/>
      <c r="E269" s="8"/>
      <c r="I269" s="8"/>
      <c r="J269" s="8"/>
    </row>
    <row r="270" spans="1:10" x14ac:dyDescent="0.2">
      <c r="A270" s="82"/>
      <c r="B270" s="70"/>
      <c r="C270" s="70"/>
      <c r="D270" s="8"/>
      <c r="E270" s="8"/>
      <c r="I270" s="8"/>
      <c r="J270" s="8"/>
    </row>
    <row r="271" spans="1:10" x14ac:dyDescent="0.2">
      <c r="A271" s="82"/>
      <c r="B271" s="70"/>
      <c r="C271" s="70"/>
      <c r="D271" s="8"/>
      <c r="E271" s="8"/>
      <c r="I271" s="8"/>
      <c r="J271" s="8"/>
    </row>
    <row r="272" spans="1:10" x14ac:dyDescent="0.2">
      <c r="A272" s="82"/>
      <c r="B272" s="70"/>
      <c r="C272" s="70"/>
      <c r="D272" s="8"/>
      <c r="E272" s="8"/>
      <c r="I272" s="8"/>
      <c r="J272" s="8"/>
    </row>
    <row r="273" spans="1:10" x14ac:dyDescent="0.2">
      <c r="A273" s="82"/>
      <c r="B273" s="70"/>
      <c r="C273" s="70"/>
      <c r="D273" s="8"/>
      <c r="E273" s="8"/>
      <c r="I273" s="8"/>
      <c r="J273" s="8"/>
    </row>
    <row r="274" spans="1:10" x14ac:dyDescent="0.2">
      <c r="A274" s="82"/>
      <c r="B274" s="70"/>
      <c r="C274" s="70"/>
      <c r="D274" s="8"/>
      <c r="E274" s="8"/>
      <c r="I274" s="8"/>
      <c r="J274" s="8"/>
    </row>
    <row r="275" spans="1:10" x14ac:dyDescent="0.2">
      <c r="A275" s="82"/>
      <c r="B275" s="70"/>
      <c r="C275" s="70"/>
      <c r="D275" s="8"/>
      <c r="E275" s="8"/>
      <c r="I275" s="8"/>
      <c r="J275" s="8"/>
    </row>
    <row r="276" spans="1:10" x14ac:dyDescent="0.2">
      <c r="A276" s="82"/>
      <c r="B276" s="70"/>
      <c r="C276" s="70"/>
      <c r="D276" s="8"/>
      <c r="E276" s="8"/>
      <c r="I276" s="8"/>
      <c r="J276" s="8"/>
    </row>
    <row r="277" spans="1:10" x14ac:dyDescent="0.2">
      <c r="A277" s="82"/>
      <c r="B277" s="70"/>
      <c r="C277" s="70"/>
      <c r="D277" s="8"/>
      <c r="E277" s="8"/>
      <c r="I277" s="8"/>
      <c r="J277" s="8"/>
    </row>
    <row r="278" spans="1:10" x14ac:dyDescent="0.2">
      <c r="A278" s="82"/>
      <c r="B278" s="70"/>
      <c r="C278" s="70"/>
      <c r="D278" s="8"/>
      <c r="E278" s="8"/>
      <c r="I278" s="8"/>
      <c r="J278" s="8"/>
    </row>
    <row r="279" spans="1:10" x14ac:dyDescent="0.2">
      <c r="A279" s="82"/>
      <c r="B279" s="70"/>
      <c r="C279" s="70"/>
      <c r="D279" s="8"/>
      <c r="E279" s="8"/>
      <c r="I279" s="8"/>
      <c r="J279" s="8"/>
    </row>
    <row r="280" spans="1:10" x14ac:dyDescent="0.2">
      <c r="A280" s="82"/>
      <c r="B280" s="70"/>
      <c r="C280" s="70"/>
      <c r="D280" s="8"/>
      <c r="E280" s="8"/>
      <c r="I280" s="8"/>
      <c r="J280" s="8"/>
    </row>
    <row r="281" spans="1:10" x14ac:dyDescent="0.2">
      <c r="A281" s="82"/>
      <c r="B281" s="70"/>
      <c r="C281" s="70"/>
      <c r="D281" s="8"/>
      <c r="E281" s="8"/>
      <c r="I281" s="8"/>
      <c r="J281" s="8"/>
    </row>
    <row r="282" spans="1:10" x14ac:dyDescent="0.2">
      <c r="A282" s="82"/>
      <c r="B282" s="70"/>
      <c r="C282" s="70"/>
      <c r="D282" s="8"/>
      <c r="E282" s="8"/>
      <c r="I282" s="8"/>
      <c r="J282" s="8"/>
    </row>
    <row r="283" spans="1:10" x14ac:dyDescent="0.2">
      <c r="A283" s="82"/>
      <c r="B283" s="70"/>
      <c r="C283" s="70"/>
      <c r="D283" s="8"/>
      <c r="E283" s="8"/>
      <c r="I283" s="8"/>
      <c r="J283" s="8"/>
    </row>
    <row r="284" spans="1:10" x14ac:dyDescent="0.2">
      <c r="A284" s="82"/>
      <c r="B284" s="70"/>
      <c r="C284" s="70"/>
      <c r="D284" s="8"/>
      <c r="E284" s="8"/>
      <c r="I284" s="8"/>
      <c r="J284" s="8"/>
    </row>
    <row r="285" spans="1:10" x14ac:dyDescent="0.2">
      <c r="A285" s="82"/>
      <c r="B285" s="70"/>
      <c r="C285" s="70"/>
      <c r="D285" s="8"/>
      <c r="E285" s="8"/>
      <c r="I285" s="8"/>
      <c r="J285" s="8"/>
    </row>
    <row r="286" spans="1:10" x14ac:dyDescent="0.2">
      <c r="A286" s="82"/>
      <c r="B286" s="70"/>
      <c r="C286" s="70"/>
      <c r="D286" s="8"/>
      <c r="E286" s="8"/>
      <c r="I286" s="8"/>
      <c r="J286" s="8"/>
    </row>
    <row r="287" spans="1:10" x14ac:dyDescent="0.2">
      <c r="A287" s="82"/>
      <c r="B287" s="70"/>
      <c r="C287" s="70"/>
      <c r="D287" s="8"/>
      <c r="E287" s="8"/>
      <c r="I287" s="8"/>
      <c r="J287" s="8"/>
    </row>
    <row r="288" spans="1:10" x14ac:dyDescent="0.2">
      <c r="A288" s="82"/>
      <c r="B288" s="70"/>
      <c r="C288" s="70"/>
      <c r="D288" s="8"/>
      <c r="E288" s="8"/>
      <c r="I288" s="8"/>
      <c r="J288" s="8"/>
    </row>
    <row r="289" spans="1:10" x14ac:dyDescent="0.2">
      <c r="A289" s="82"/>
      <c r="B289" s="70"/>
      <c r="C289" s="70"/>
      <c r="D289" s="8"/>
      <c r="E289" s="8"/>
      <c r="I289" s="8"/>
      <c r="J289" s="8"/>
    </row>
    <row r="290" spans="1:10" x14ac:dyDescent="0.2">
      <c r="A290" s="82"/>
      <c r="B290" s="70"/>
      <c r="C290" s="70"/>
      <c r="D290" s="8"/>
      <c r="E290" s="8"/>
      <c r="I290" s="8"/>
      <c r="J290" s="8"/>
    </row>
    <row r="291" spans="1:10" x14ac:dyDescent="0.2">
      <c r="A291" s="82"/>
      <c r="B291" s="70"/>
      <c r="C291" s="70"/>
      <c r="D291" s="8"/>
      <c r="E291" s="8"/>
      <c r="I291" s="8"/>
      <c r="J291" s="8"/>
    </row>
    <row r="292" spans="1:10" x14ac:dyDescent="0.2">
      <c r="A292" s="82"/>
      <c r="B292" s="70"/>
      <c r="C292" s="70"/>
      <c r="D292" s="8"/>
      <c r="E292" s="8"/>
      <c r="I292" s="8"/>
      <c r="J292" s="8"/>
    </row>
    <row r="293" spans="1:10" x14ac:dyDescent="0.2">
      <c r="A293" s="82"/>
      <c r="B293" s="70"/>
      <c r="C293" s="70"/>
      <c r="D293" s="8"/>
      <c r="E293" s="8"/>
      <c r="I293" s="8"/>
      <c r="J293" s="8"/>
    </row>
    <row r="294" spans="1:10" x14ac:dyDescent="0.2">
      <c r="A294" s="82"/>
      <c r="B294" s="70"/>
      <c r="C294" s="70"/>
      <c r="D294" s="8"/>
      <c r="E294" s="8"/>
      <c r="I294" s="8"/>
      <c r="J294" s="8"/>
    </row>
    <row r="295" spans="1:10" x14ac:dyDescent="0.2">
      <c r="A295" s="82"/>
      <c r="B295" s="70"/>
      <c r="C295" s="70"/>
      <c r="D295" s="8"/>
      <c r="E295" s="8"/>
      <c r="I295" s="8"/>
      <c r="J295" s="8"/>
    </row>
    <row r="296" spans="1:10" x14ac:dyDescent="0.2">
      <c r="A296" s="82"/>
      <c r="B296" s="70"/>
      <c r="C296" s="70"/>
      <c r="D296" s="8"/>
      <c r="E296" s="8"/>
      <c r="I296" s="8"/>
      <c r="J296" s="8"/>
    </row>
    <row r="297" spans="1:10" x14ac:dyDescent="0.2">
      <c r="A297" s="82"/>
      <c r="B297" s="70"/>
      <c r="C297" s="70"/>
      <c r="D297" s="8"/>
      <c r="E297" s="8"/>
      <c r="I297" s="8"/>
      <c r="J297" s="8"/>
    </row>
    <row r="298" spans="1:10" x14ac:dyDescent="0.2">
      <c r="A298" s="82"/>
      <c r="B298" s="70"/>
      <c r="C298" s="70"/>
      <c r="D298" s="8"/>
      <c r="E298" s="8"/>
      <c r="I298" s="8"/>
      <c r="J298" s="8"/>
    </row>
    <row r="299" spans="1:10" x14ac:dyDescent="0.2">
      <c r="A299" s="82"/>
      <c r="B299" s="70"/>
      <c r="C299" s="70"/>
      <c r="D299" s="8"/>
      <c r="E299" s="8"/>
      <c r="I299" s="8"/>
      <c r="J299" s="8"/>
    </row>
    <row r="300" spans="1:10" x14ac:dyDescent="0.2">
      <c r="A300" s="82"/>
      <c r="B300" s="70"/>
      <c r="C300" s="70"/>
      <c r="D300" s="8"/>
      <c r="E300" s="8"/>
      <c r="I300" s="8"/>
      <c r="J300" s="8"/>
    </row>
    <row r="301" spans="1:10" x14ac:dyDescent="0.2">
      <c r="A301" s="82"/>
      <c r="B301" s="70"/>
      <c r="C301" s="70"/>
      <c r="D301" s="8"/>
      <c r="E301" s="8"/>
      <c r="I301" s="8"/>
      <c r="J301" s="8"/>
    </row>
    <row r="302" spans="1:10" x14ac:dyDescent="0.2">
      <c r="A302" s="82"/>
      <c r="B302" s="70"/>
      <c r="C302" s="70"/>
      <c r="D302" s="8"/>
      <c r="E302" s="8"/>
      <c r="I302" s="8"/>
      <c r="J302" s="8"/>
    </row>
    <row r="303" spans="1:10" x14ac:dyDescent="0.2">
      <c r="A303" s="82"/>
      <c r="B303" s="70"/>
      <c r="C303" s="70"/>
      <c r="D303" s="8"/>
      <c r="E303" s="8"/>
      <c r="I303" s="8"/>
      <c r="J303" s="8"/>
    </row>
    <row r="304" spans="1:10" x14ac:dyDescent="0.2">
      <c r="A304" s="82"/>
      <c r="B304" s="70"/>
      <c r="C304" s="70"/>
      <c r="D304" s="8"/>
      <c r="E304" s="8"/>
      <c r="I304" s="8"/>
      <c r="J304" s="8"/>
    </row>
    <row r="305" spans="1:10" x14ac:dyDescent="0.2">
      <c r="A305" s="82"/>
      <c r="B305" s="70"/>
      <c r="C305" s="70"/>
      <c r="D305" s="8"/>
      <c r="E305" s="8"/>
      <c r="I305" s="8"/>
      <c r="J305" s="8"/>
    </row>
    <row r="306" spans="1:10" x14ac:dyDescent="0.2">
      <c r="A306" s="82"/>
      <c r="B306" s="70"/>
      <c r="C306" s="70"/>
      <c r="D306" s="8"/>
      <c r="E306" s="8"/>
      <c r="I306" s="8"/>
      <c r="J306" s="8"/>
    </row>
    <row r="307" spans="1:10" x14ac:dyDescent="0.2">
      <c r="A307" s="82"/>
      <c r="B307" s="70"/>
      <c r="C307" s="70"/>
      <c r="D307" s="8"/>
      <c r="E307" s="8"/>
      <c r="I307" s="8"/>
      <c r="J307" s="8"/>
    </row>
    <row r="308" spans="1:10" x14ac:dyDescent="0.2">
      <c r="A308" s="82"/>
      <c r="B308" s="70"/>
      <c r="C308" s="70"/>
      <c r="D308" s="8"/>
      <c r="E308" s="8"/>
      <c r="I308" s="8"/>
      <c r="J308" s="8"/>
    </row>
    <row r="309" spans="1:10" x14ac:dyDescent="0.2">
      <c r="A309" s="82"/>
      <c r="B309" s="70"/>
      <c r="C309" s="70"/>
      <c r="D309" s="8"/>
      <c r="E309" s="8"/>
      <c r="I309" s="8"/>
      <c r="J309" s="8"/>
    </row>
    <row r="310" spans="1:10" x14ac:dyDescent="0.2">
      <c r="A310" s="82"/>
      <c r="B310" s="70"/>
      <c r="C310" s="70"/>
      <c r="D310" s="8"/>
      <c r="E310" s="8"/>
      <c r="I310" s="8"/>
      <c r="J310" s="8"/>
    </row>
    <row r="311" spans="1:10" x14ac:dyDescent="0.2">
      <c r="A311" s="82"/>
      <c r="B311" s="70"/>
      <c r="C311" s="70"/>
      <c r="D311" s="8"/>
      <c r="E311" s="8"/>
      <c r="I311" s="8"/>
      <c r="J311" s="8"/>
    </row>
    <row r="312" spans="1:10" x14ac:dyDescent="0.2">
      <c r="A312" s="82"/>
      <c r="B312" s="70"/>
      <c r="C312" s="70"/>
      <c r="D312" s="8"/>
      <c r="E312" s="8"/>
      <c r="I312" s="8"/>
      <c r="J312" s="8"/>
    </row>
    <row r="313" spans="1:10" x14ac:dyDescent="0.2">
      <c r="A313" s="82"/>
      <c r="B313" s="70"/>
      <c r="C313" s="70"/>
      <c r="D313" s="8"/>
      <c r="E313" s="8"/>
      <c r="I313" s="8"/>
      <c r="J313" s="8"/>
    </row>
    <row r="314" spans="1:10" x14ac:dyDescent="0.2">
      <c r="A314" s="82"/>
      <c r="B314" s="70"/>
      <c r="C314" s="70"/>
      <c r="D314" s="8"/>
      <c r="E314" s="8"/>
      <c r="I314" s="8"/>
      <c r="J314" s="8"/>
    </row>
    <row r="315" spans="1:10" x14ac:dyDescent="0.2">
      <c r="A315" s="82"/>
      <c r="B315" s="70"/>
      <c r="C315" s="70"/>
      <c r="D315" s="8"/>
      <c r="E315" s="8"/>
      <c r="I315" s="8"/>
      <c r="J315" s="8"/>
    </row>
    <row r="316" spans="1:10" x14ac:dyDescent="0.2">
      <c r="A316" s="82"/>
      <c r="B316" s="70"/>
      <c r="C316" s="70"/>
      <c r="D316" s="8"/>
      <c r="E316" s="8"/>
      <c r="I316" s="8"/>
      <c r="J316" s="8"/>
    </row>
    <row r="317" spans="1:10" x14ac:dyDescent="0.2">
      <c r="A317" s="82"/>
      <c r="B317" s="70"/>
      <c r="C317" s="70"/>
      <c r="D317" s="8"/>
      <c r="E317" s="8"/>
      <c r="I317" s="8"/>
      <c r="J317" s="8"/>
    </row>
    <row r="318" spans="1:10" x14ac:dyDescent="0.2">
      <c r="A318" s="82"/>
      <c r="B318" s="70"/>
      <c r="C318" s="70"/>
      <c r="D318" s="8"/>
      <c r="E318" s="8"/>
      <c r="I318" s="8"/>
      <c r="J318" s="8"/>
    </row>
    <row r="319" spans="1:10" x14ac:dyDescent="0.2">
      <c r="A319" s="82"/>
      <c r="B319" s="70"/>
      <c r="C319" s="70"/>
      <c r="D319" s="8"/>
      <c r="E319" s="8"/>
      <c r="I319" s="8"/>
      <c r="J319" s="8"/>
    </row>
    <row r="320" spans="1:10" x14ac:dyDescent="0.2">
      <c r="A320" s="82"/>
      <c r="B320" s="70"/>
      <c r="C320" s="70"/>
      <c r="D320" s="8"/>
      <c r="E320" s="8"/>
      <c r="I320" s="8"/>
      <c r="J320" s="8"/>
    </row>
    <row r="321" spans="1:10" x14ac:dyDescent="0.2">
      <c r="A321" s="82"/>
      <c r="B321" s="70"/>
      <c r="C321" s="70"/>
      <c r="D321" s="8"/>
      <c r="E321" s="8"/>
      <c r="I321" s="8"/>
      <c r="J321" s="8"/>
    </row>
    <row r="322" spans="1:10" x14ac:dyDescent="0.2">
      <c r="A322" s="82"/>
      <c r="B322" s="70"/>
      <c r="C322" s="70"/>
      <c r="D322" s="8"/>
      <c r="E322" s="8"/>
      <c r="I322" s="8"/>
      <c r="J322" s="8"/>
    </row>
    <row r="323" spans="1:10" x14ac:dyDescent="0.2">
      <c r="A323" s="82"/>
      <c r="B323" s="70"/>
      <c r="C323" s="70"/>
      <c r="D323" s="8"/>
      <c r="E323" s="8"/>
      <c r="I323" s="8"/>
      <c r="J323" s="8"/>
    </row>
    <row r="324" spans="1:10" x14ac:dyDescent="0.2">
      <c r="A324" s="82"/>
      <c r="B324" s="70"/>
      <c r="C324" s="70"/>
      <c r="D324" s="8"/>
      <c r="E324" s="8"/>
      <c r="I324" s="8"/>
      <c r="J324" s="8"/>
    </row>
    <row r="325" spans="1:10" x14ac:dyDescent="0.2">
      <c r="A325" s="82"/>
      <c r="B325" s="70"/>
      <c r="C325" s="70"/>
      <c r="D325" s="8"/>
      <c r="E325" s="8"/>
      <c r="I325" s="8"/>
      <c r="J325" s="8"/>
    </row>
    <row r="326" spans="1:10" x14ac:dyDescent="0.2">
      <c r="A326" s="82"/>
      <c r="B326" s="70"/>
      <c r="C326" s="70"/>
      <c r="D326" s="8"/>
      <c r="E326" s="8"/>
      <c r="I326" s="8"/>
      <c r="J326" s="8"/>
    </row>
    <row r="327" spans="1:10" x14ac:dyDescent="0.2">
      <c r="A327" s="82"/>
      <c r="B327" s="70"/>
      <c r="C327" s="70"/>
      <c r="D327" s="8"/>
      <c r="E327" s="8"/>
      <c r="I327" s="8"/>
      <c r="J327" s="8"/>
    </row>
    <row r="328" spans="1:10" x14ac:dyDescent="0.2">
      <c r="A328" s="82"/>
      <c r="B328" s="70"/>
      <c r="C328" s="70"/>
      <c r="D328" s="8"/>
      <c r="E328" s="8"/>
      <c r="I328" s="8"/>
      <c r="J328" s="8"/>
    </row>
    <row r="329" spans="1:10" x14ac:dyDescent="0.2">
      <c r="A329" s="82"/>
      <c r="B329" s="70"/>
      <c r="C329" s="70"/>
      <c r="D329" s="8"/>
      <c r="E329" s="8"/>
      <c r="I329" s="8"/>
      <c r="J329" s="8"/>
    </row>
    <row r="330" spans="1:10" x14ac:dyDescent="0.2">
      <c r="A330" s="82"/>
      <c r="B330" s="70"/>
      <c r="C330" s="70"/>
      <c r="D330" s="8"/>
      <c r="E330" s="8"/>
      <c r="I330" s="8"/>
      <c r="J330" s="8"/>
    </row>
    <row r="331" spans="1:10" x14ac:dyDescent="0.2">
      <c r="A331" s="82"/>
      <c r="B331" s="70"/>
      <c r="C331" s="70"/>
      <c r="D331" s="8"/>
      <c r="E331" s="8"/>
      <c r="I331" s="8"/>
      <c r="J331" s="8"/>
    </row>
    <row r="332" spans="1:10" x14ac:dyDescent="0.2">
      <c r="A332" s="82"/>
      <c r="B332" s="70"/>
      <c r="C332" s="70"/>
      <c r="D332" s="8"/>
      <c r="E332" s="8"/>
      <c r="I332" s="8"/>
      <c r="J332" s="8"/>
    </row>
    <row r="333" spans="1:10" x14ac:dyDescent="0.2">
      <c r="A333" s="82"/>
      <c r="B333" s="70"/>
      <c r="C333" s="70"/>
      <c r="D333" s="8"/>
      <c r="E333" s="8"/>
      <c r="I333" s="8"/>
      <c r="J333" s="8"/>
    </row>
    <row r="334" spans="1:10" x14ac:dyDescent="0.2">
      <c r="A334" s="82"/>
      <c r="B334" s="70"/>
      <c r="C334" s="70"/>
      <c r="D334" s="8"/>
      <c r="E334" s="8"/>
      <c r="I334" s="8"/>
      <c r="J334" s="8"/>
    </row>
    <row r="335" spans="1:10" x14ac:dyDescent="0.2">
      <c r="A335" s="82"/>
      <c r="B335" s="70"/>
      <c r="C335" s="70"/>
      <c r="D335" s="8"/>
      <c r="E335" s="8"/>
      <c r="I335" s="8"/>
      <c r="J335" s="8"/>
    </row>
    <row r="336" spans="1:10" x14ac:dyDescent="0.2">
      <c r="A336" s="82"/>
      <c r="B336" s="70"/>
      <c r="C336" s="70"/>
      <c r="D336" s="8"/>
      <c r="E336" s="8"/>
      <c r="I336" s="8"/>
      <c r="J336" s="8"/>
    </row>
    <row r="337" spans="1:10" x14ac:dyDescent="0.2">
      <c r="A337" s="82"/>
      <c r="B337" s="70"/>
      <c r="C337" s="70"/>
      <c r="D337" s="8"/>
      <c r="E337" s="8"/>
      <c r="I337" s="8"/>
      <c r="J337" s="8"/>
    </row>
    <row r="338" spans="1:10" x14ac:dyDescent="0.2">
      <c r="A338" s="82"/>
      <c r="B338" s="70"/>
      <c r="C338" s="70"/>
      <c r="D338" s="8"/>
      <c r="E338" s="8"/>
      <c r="I338" s="8"/>
      <c r="J338" s="8"/>
    </row>
    <row r="339" spans="1:10" x14ac:dyDescent="0.2">
      <c r="A339" s="82"/>
      <c r="B339" s="70"/>
      <c r="C339" s="70"/>
      <c r="D339" s="8"/>
      <c r="E339" s="8"/>
      <c r="I339" s="8"/>
      <c r="J339" s="8"/>
    </row>
    <row r="340" spans="1:10" x14ac:dyDescent="0.2">
      <c r="A340" s="82"/>
      <c r="B340" s="70"/>
      <c r="C340" s="70"/>
      <c r="D340" s="8"/>
      <c r="E340" s="8"/>
      <c r="I340" s="8"/>
      <c r="J340" s="8"/>
    </row>
    <row r="341" spans="1:10" x14ac:dyDescent="0.2">
      <c r="A341" s="82"/>
      <c r="B341" s="70"/>
      <c r="C341" s="70"/>
      <c r="D341" s="8"/>
      <c r="E341" s="8"/>
      <c r="I341" s="8"/>
      <c r="J341" s="8"/>
    </row>
    <row r="342" spans="1:10" x14ac:dyDescent="0.2">
      <c r="A342" s="82"/>
      <c r="B342" s="70"/>
      <c r="C342" s="70"/>
      <c r="D342" s="8"/>
      <c r="E342" s="8"/>
      <c r="I342" s="8"/>
      <c r="J342" s="8"/>
    </row>
    <row r="343" spans="1:10" x14ac:dyDescent="0.2">
      <c r="A343" s="82"/>
      <c r="B343" s="70"/>
      <c r="C343" s="70"/>
      <c r="D343" s="8"/>
      <c r="E343" s="8"/>
      <c r="I343" s="8"/>
      <c r="J343" s="8"/>
    </row>
    <row r="344" spans="1:10" x14ac:dyDescent="0.2">
      <c r="A344" s="82"/>
      <c r="B344" s="70"/>
      <c r="C344" s="70"/>
      <c r="D344" s="8"/>
      <c r="E344" s="8"/>
      <c r="I344" s="8"/>
      <c r="J344" s="8"/>
    </row>
    <row r="345" spans="1:10" x14ac:dyDescent="0.2">
      <c r="A345" s="82"/>
      <c r="B345" s="70"/>
      <c r="C345" s="70"/>
      <c r="D345" s="8"/>
      <c r="E345" s="8"/>
      <c r="I345" s="8"/>
      <c r="J345" s="8"/>
    </row>
    <row r="346" spans="1:10" x14ac:dyDescent="0.2">
      <c r="A346" s="82"/>
      <c r="B346" s="70"/>
      <c r="C346" s="70"/>
      <c r="D346" s="8"/>
      <c r="E346" s="8"/>
      <c r="I346" s="8"/>
      <c r="J346" s="8"/>
    </row>
    <row r="347" spans="1:10" x14ac:dyDescent="0.2">
      <c r="A347" s="82"/>
      <c r="B347" s="70"/>
      <c r="C347" s="70"/>
      <c r="D347" s="8"/>
      <c r="E347" s="8"/>
      <c r="I347" s="8"/>
      <c r="J347" s="8"/>
    </row>
    <row r="348" spans="1:10" x14ac:dyDescent="0.2">
      <c r="A348" s="82"/>
      <c r="B348" s="70"/>
      <c r="C348" s="70"/>
      <c r="D348" s="8"/>
      <c r="E348" s="8"/>
      <c r="I348" s="8"/>
      <c r="J348" s="8"/>
    </row>
    <row r="349" spans="1:10" x14ac:dyDescent="0.2">
      <c r="A349" s="82"/>
      <c r="B349" s="70"/>
      <c r="C349" s="70"/>
      <c r="D349" s="8"/>
      <c r="E349" s="8"/>
      <c r="I349" s="8"/>
      <c r="J349" s="8"/>
    </row>
    <row r="350" spans="1:10" x14ac:dyDescent="0.2">
      <c r="A350" s="82"/>
      <c r="B350" s="70"/>
      <c r="C350" s="70"/>
      <c r="D350" s="8"/>
      <c r="E350" s="8"/>
      <c r="I350" s="8"/>
      <c r="J350" s="8"/>
    </row>
    <row r="351" spans="1:10" x14ac:dyDescent="0.2">
      <c r="A351" s="82"/>
      <c r="B351" s="70"/>
      <c r="C351" s="70"/>
      <c r="D351" s="8"/>
      <c r="E351" s="8"/>
      <c r="I351" s="8"/>
      <c r="J351" s="8"/>
    </row>
    <row r="352" spans="1:10" x14ac:dyDescent="0.2">
      <c r="A352" s="82"/>
      <c r="B352" s="70"/>
      <c r="C352" s="70"/>
      <c r="D352" s="8"/>
      <c r="E352" s="8"/>
      <c r="I352" s="8"/>
      <c r="J352" s="8"/>
    </row>
    <row r="353" spans="1:10" x14ac:dyDescent="0.2">
      <c r="A353" s="82"/>
      <c r="B353" s="70"/>
      <c r="C353" s="70"/>
      <c r="D353" s="8"/>
      <c r="E353" s="8"/>
      <c r="I353" s="8"/>
      <c r="J353" s="8"/>
    </row>
    <row r="354" spans="1:10" x14ac:dyDescent="0.2">
      <c r="A354" s="82"/>
      <c r="B354" s="70"/>
      <c r="C354" s="70"/>
      <c r="D354" s="8"/>
      <c r="E354" s="8"/>
      <c r="I354" s="8"/>
      <c r="J354" s="8"/>
    </row>
    <row r="355" spans="1:10" x14ac:dyDescent="0.2">
      <c r="A355" s="82"/>
      <c r="B355" s="70"/>
      <c r="C355" s="70"/>
      <c r="D355" s="8"/>
      <c r="E355" s="8"/>
      <c r="I355" s="8"/>
      <c r="J355" s="8"/>
    </row>
    <row r="356" spans="1:10" x14ac:dyDescent="0.2">
      <c r="A356" s="82"/>
      <c r="B356" s="70"/>
      <c r="C356" s="70"/>
      <c r="D356" s="8"/>
      <c r="E356" s="8"/>
      <c r="I356" s="8"/>
      <c r="J356" s="8"/>
    </row>
    <row r="357" spans="1:10" x14ac:dyDescent="0.2">
      <c r="A357" s="82"/>
      <c r="B357" s="70"/>
      <c r="C357" s="70"/>
      <c r="D357" s="8"/>
      <c r="E357" s="8"/>
      <c r="I357" s="8"/>
      <c r="J357" s="8"/>
    </row>
    <row r="358" spans="1:10" x14ac:dyDescent="0.2">
      <c r="A358" s="82"/>
      <c r="B358" s="70"/>
      <c r="C358" s="70"/>
      <c r="D358" s="8"/>
      <c r="E358" s="8"/>
      <c r="I358" s="8"/>
      <c r="J358" s="8"/>
    </row>
    <row r="359" spans="1:10" x14ac:dyDescent="0.2">
      <c r="A359" s="82"/>
      <c r="B359" s="70"/>
      <c r="C359" s="70"/>
      <c r="D359" s="8"/>
      <c r="E359" s="8"/>
      <c r="I359" s="8"/>
      <c r="J359" s="8"/>
    </row>
    <row r="360" spans="1:10" x14ac:dyDescent="0.2">
      <c r="A360" s="82"/>
      <c r="B360" s="70"/>
      <c r="C360" s="70"/>
      <c r="D360" s="8"/>
      <c r="E360" s="8"/>
      <c r="I360" s="8"/>
      <c r="J360" s="8"/>
    </row>
    <row r="361" spans="1:10" x14ac:dyDescent="0.2">
      <c r="A361" s="82"/>
      <c r="B361" s="70"/>
      <c r="C361" s="70"/>
      <c r="D361" s="8"/>
      <c r="E361" s="8"/>
      <c r="I361" s="8"/>
      <c r="J361" s="8"/>
    </row>
    <row r="362" spans="1:10" x14ac:dyDescent="0.2">
      <c r="A362" s="82"/>
      <c r="B362" s="70"/>
      <c r="C362" s="70"/>
      <c r="D362" s="8"/>
      <c r="E362" s="8"/>
      <c r="I362" s="8"/>
      <c r="J362" s="8"/>
    </row>
    <row r="363" spans="1:10" x14ac:dyDescent="0.2">
      <c r="A363" s="82"/>
      <c r="B363" s="70"/>
      <c r="C363" s="70"/>
      <c r="D363" s="8"/>
      <c r="E363" s="8"/>
      <c r="I363" s="8"/>
      <c r="J363" s="8"/>
    </row>
    <row r="364" spans="1:10" x14ac:dyDescent="0.2">
      <c r="A364" s="82"/>
      <c r="B364" s="70"/>
      <c r="C364" s="70"/>
      <c r="D364" s="8"/>
      <c r="E364" s="8"/>
      <c r="I364" s="8"/>
      <c r="J364" s="8"/>
    </row>
    <row r="365" spans="1:10" x14ac:dyDescent="0.2">
      <c r="A365" s="82"/>
      <c r="B365" s="70"/>
      <c r="C365" s="70"/>
      <c r="D365" s="8"/>
      <c r="E365" s="8"/>
      <c r="I365" s="8"/>
      <c r="J365" s="8"/>
    </row>
    <row r="366" spans="1:10" x14ac:dyDescent="0.2">
      <c r="A366" s="82"/>
      <c r="B366" s="70"/>
      <c r="C366" s="70"/>
      <c r="D366" s="8"/>
      <c r="E366" s="8"/>
      <c r="I366" s="8"/>
      <c r="J366" s="8"/>
    </row>
    <row r="367" spans="1:10" x14ac:dyDescent="0.2">
      <c r="A367" s="82"/>
      <c r="B367" s="70"/>
      <c r="C367" s="70"/>
      <c r="D367" s="8"/>
      <c r="E367" s="8"/>
      <c r="I367" s="8"/>
      <c r="J367" s="8"/>
    </row>
    <row r="368" spans="1:10" x14ac:dyDescent="0.2">
      <c r="A368" s="82"/>
      <c r="B368" s="70"/>
      <c r="C368" s="70"/>
      <c r="D368" s="8"/>
      <c r="E368" s="8"/>
      <c r="I368" s="8"/>
      <c r="J368" s="8"/>
    </row>
    <row r="369" spans="1:10" x14ac:dyDescent="0.2">
      <c r="A369" s="82"/>
      <c r="B369" s="70"/>
      <c r="C369" s="70"/>
      <c r="D369" s="8"/>
      <c r="E369" s="8"/>
      <c r="I369" s="8"/>
      <c r="J369" s="8"/>
    </row>
    <row r="370" spans="1:10" x14ac:dyDescent="0.2">
      <c r="A370" s="82"/>
      <c r="B370" s="70"/>
      <c r="C370" s="70"/>
      <c r="D370" s="8"/>
      <c r="E370" s="8"/>
      <c r="I370" s="8"/>
      <c r="J370" s="8"/>
    </row>
    <row r="371" spans="1:10" x14ac:dyDescent="0.2">
      <c r="A371" s="82"/>
      <c r="B371" s="70"/>
      <c r="C371" s="70"/>
      <c r="D371" s="8"/>
      <c r="E371" s="8"/>
      <c r="I371" s="8"/>
      <c r="J371" s="8"/>
    </row>
    <row r="372" spans="1:10" x14ac:dyDescent="0.2">
      <c r="A372" s="82"/>
      <c r="B372" s="70"/>
      <c r="C372" s="70"/>
      <c r="D372" s="8"/>
      <c r="E372" s="8"/>
      <c r="I372" s="8"/>
      <c r="J372" s="8"/>
    </row>
    <row r="373" spans="1:10" x14ac:dyDescent="0.2">
      <c r="A373" s="82"/>
      <c r="B373" s="70"/>
      <c r="C373" s="70"/>
      <c r="D373" s="8"/>
      <c r="E373" s="8"/>
      <c r="I373" s="8"/>
      <c r="J373" s="8"/>
    </row>
    <row r="374" spans="1:10" x14ac:dyDescent="0.2">
      <c r="A374" s="82"/>
      <c r="B374" s="70"/>
      <c r="C374" s="70"/>
      <c r="D374" s="8"/>
      <c r="E374" s="8"/>
      <c r="I374" s="8"/>
      <c r="J374" s="8"/>
    </row>
    <row r="375" spans="1:10" x14ac:dyDescent="0.2">
      <c r="A375" s="82"/>
      <c r="B375" s="70"/>
      <c r="C375" s="70"/>
      <c r="D375" s="8"/>
      <c r="E375" s="8"/>
      <c r="I375" s="8"/>
      <c r="J375" s="8"/>
    </row>
    <row r="376" spans="1:10" x14ac:dyDescent="0.2">
      <c r="A376" s="82"/>
      <c r="B376" s="70"/>
      <c r="C376" s="70"/>
      <c r="D376" s="8"/>
      <c r="E376" s="8"/>
      <c r="I376" s="8"/>
      <c r="J376" s="8"/>
    </row>
    <row r="377" spans="1:10" x14ac:dyDescent="0.2">
      <c r="A377" s="82"/>
      <c r="B377" s="70"/>
      <c r="C377" s="70"/>
      <c r="D377" s="8"/>
      <c r="E377" s="8"/>
      <c r="I377" s="8"/>
      <c r="J377" s="8"/>
    </row>
    <row r="378" spans="1:10" x14ac:dyDescent="0.2">
      <c r="A378" s="82"/>
      <c r="B378" s="70"/>
      <c r="C378" s="70"/>
      <c r="D378" s="8"/>
      <c r="E378" s="8"/>
      <c r="I378" s="8"/>
      <c r="J378" s="8"/>
    </row>
    <row r="379" spans="1:10" x14ac:dyDescent="0.2">
      <c r="A379" s="82"/>
      <c r="B379" s="70"/>
      <c r="C379" s="70"/>
      <c r="D379" s="8"/>
      <c r="E379" s="8"/>
      <c r="I379" s="8"/>
      <c r="J379" s="8"/>
    </row>
    <row r="380" spans="1:10" x14ac:dyDescent="0.2">
      <c r="A380" s="82"/>
      <c r="B380" s="70"/>
      <c r="C380" s="70"/>
      <c r="D380" s="8"/>
      <c r="E380" s="8"/>
      <c r="I380" s="8"/>
      <c r="J380" s="8"/>
    </row>
    <row r="381" spans="1:10" x14ac:dyDescent="0.2">
      <c r="A381" s="82"/>
      <c r="B381" s="70"/>
      <c r="C381" s="70"/>
      <c r="D381" s="8"/>
      <c r="E381" s="8"/>
      <c r="I381" s="8"/>
      <c r="J381" s="8"/>
    </row>
    <row r="382" spans="1:10" x14ac:dyDescent="0.2">
      <c r="A382" s="82"/>
      <c r="B382" s="70"/>
      <c r="C382" s="70"/>
      <c r="D382" s="8"/>
      <c r="E382" s="8"/>
      <c r="I382" s="8"/>
      <c r="J382" s="8"/>
    </row>
    <row r="383" spans="1:10" x14ac:dyDescent="0.2">
      <c r="A383" s="82"/>
      <c r="B383" s="70"/>
      <c r="C383" s="70"/>
      <c r="D383" s="8"/>
      <c r="E383" s="8"/>
      <c r="I383" s="8"/>
      <c r="J383" s="8"/>
    </row>
    <row r="384" spans="1:10" x14ac:dyDescent="0.2">
      <c r="A384" s="82"/>
      <c r="B384" s="70"/>
      <c r="C384" s="70"/>
      <c r="D384" s="8"/>
      <c r="E384" s="8"/>
      <c r="I384" s="8"/>
      <c r="J384" s="8"/>
    </row>
    <row r="385" spans="1:10" x14ac:dyDescent="0.2">
      <c r="A385" s="82"/>
      <c r="B385" s="70"/>
      <c r="C385" s="70"/>
      <c r="D385" s="8"/>
      <c r="E385" s="8"/>
      <c r="I385" s="8"/>
      <c r="J385" s="8"/>
    </row>
    <row r="386" spans="1:10" x14ac:dyDescent="0.2">
      <c r="A386" s="82"/>
      <c r="B386" s="70"/>
      <c r="C386" s="70"/>
      <c r="D386" s="8"/>
      <c r="E386" s="8"/>
      <c r="I386" s="8"/>
      <c r="J386" s="8"/>
    </row>
    <row r="387" spans="1:10" x14ac:dyDescent="0.2">
      <c r="A387" s="82"/>
      <c r="B387" s="70"/>
      <c r="C387" s="70"/>
      <c r="D387" s="8"/>
      <c r="E387" s="8"/>
      <c r="I387" s="8"/>
      <c r="J387" s="8"/>
    </row>
    <row r="388" spans="1:10" x14ac:dyDescent="0.2">
      <c r="A388" s="82"/>
      <c r="B388" s="70"/>
      <c r="C388" s="70"/>
      <c r="D388" s="8"/>
      <c r="E388" s="8"/>
      <c r="I388" s="8"/>
      <c r="J388" s="8"/>
    </row>
    <row r="389" spans="1:10" x14ac:dyDescent="0.2">
      <c r="A389" s="82"/>
      <c r="B389" s="70"/>
      <c r="C389" s="70"/>
      <c r="D389" s="8"/>
      <c r="E389" s="8"/>
      <c r="I389" s="8"/>
      <c r="J389" s="8"/>
    </row>
    <row r="390" spans="1:10" x14ac:dyDescent="0.2">
      <c r="A390" s="82"/>
      <c r="B390" s="70"/>
      <c r="C390" s="70"/>
      <c r="D390" s="8"/>
      <c r="E390" s="8"/>
      <c r="I390" s="8"/>
      <c r="J390" s="8"/>
    </row>
    <row r="391" spans="1:10" x14ac:dyDescent="0.2">
      <c r="A391" s="82"/>
      <c r="B391" s="70"/>
      <c r="C391" s="70"/>
      <c r="D391" s="8"/>
      <c r="E391" s="8"/>
      <c r="I391" s="8"/>
      <c r="J391" s="8"/>
    </row>
    <row r="392" spans="1:10" x14ac:dyDescent="0.2">
      <c r="A392" s="82"/>
      <c r="B392" s="70"/>
      <c r="C392" s="70"/>
      <c r="D392" s="8"/>
      <c r="E392" s="8"/>
      <c r="I392" s="8"/>
      <c r="J392" s="8"/>
    </row>
    <row r="393" spans="1:10" x14ac:dyDescent="0.2">
      <c r="A393" s="82"/>
      <c r="B393" s="70"/>
      <c r="C393" s="70"/>
      <c r="D393" s="8"/>
      <c r="E393" s="8"/>
      <c r="I393" s="8"/>
      <c r="J393" s="8"/>
    </row>
    <row r="394" spans="1:10" x14ac:dyDescent="0.2">
      <c r="A394" s="82"/>
      <c r="B394" s="70"/>
      <c r="C394" s="70"/>
      <c r="D394" s="8"/>
      <c r="E394" s="8"/>
      <c r="I394" s="8"/>
      <c r="J394" s="8"/>
    </row>
    <row r="395" spans="1:10" x14ac:dyDescent="0.2">
      <c r="A395" s="82"/>
      <c r="B395" s="70"/>
      <c r="C395" s="70"/>
      <c r="D395" s="8"/>
      <c r="E395" s="8"/>
      <c r="I395" s="8"/>
      <c r="J395" s="8"/>
    </row>
    <row r="396" spans="1:10" x14ac:dyDescent="0.2">
      <c r="A396" s="82"/>
      <c r="B396" s="70"/>
      <c r="C396" s="70"/>
      <c r="D396" s="8"/>
      <c r="E396" s="8"/>
      <c r="I396" s="8"/>
      <c r="J396" s="8"/>
    </row>
    <row r="397" spans="1:10" x14ac:dyDescent="0.2">
      <c r="A397" s="82"/>
      <c r="B397" s="70"/>
      <c r="C397" s="70"/>
      <c r="D397" s="8"/>
      <c r="E397" s="8"/>
      <c r="I397" s="8"/>
      <c r="J397" s="8"/>
    </row>
    <row r="398" spans="1:10" x14ac:dyDescent="0.2">
      <c r="A398" s="82"/>
      <c r="B398" s="70"/>
      <c r="C398" s="70"/>
      <c r="D398" s="8"/>
      <c r="E398" s="8"/>
      <c r="I398" s="8"/>
      <c r="J398" s="8"/>
    </row>
    <row r="399" spans="1:10" x14ac:dyDescent="0.2">
      <c r="A399" s="82"/>
      <c r="B399" s="70"/>
      <c r="C399" s="70"/>
      <c r="D399" s="8"/>
      <c r="E399" s="8"/>
      <c r="I399" s="8"/>
      <c r="J399" s="8"/>
    </row>
    <row r="400" spans="1:10" x14ac:dyDescent="0.2">
      <c r="A400" s="82"/>
      <c r="B400" s="70"/>
      <c r="C400" s="70"/>
      <c r="D400" s="8"/>
      <c r="E400" s="8"/>
      <c r="I400" s="8"/>
      <c r="J400" s="8"/>
    </row>
    <row r="401" spans="1:10" x14ac:dyDescent="0.2">
      <c r="A401" s="82"/>
      <c r="B401" s="70"/>
      <c r="C401" s="70"/>
      <c r="D401" s="8"/>
      <c r="E401" s="8"/>
      <c r="I401" s="8"/>
      <c r="J401" s="8"/>
    </row>
    <row r="402" spans="1:10" x14ac:dyDescent="0.2">
      <c r="A402" s="82"/>
      <c r="B402" s="70"/>
      <c r="C402" s="70"/>
      <c r="D402" s="8"/>
      <c r="E402" s="8"/>
      <c r="I402" s="8"/>
      <c r="J402" s="8"/>
    </row>
    <row r="403" spans="1:10" x14ac:dyDescent="0.2">
      <c r="A403" s="82"/>
      <c r="B403" s="70"/>
      <c r="C403" s="70"/>
      <c r="D403" s="8"/>
      <c r="E403" s="8"/>
      <c r="I403" s="8"/>
      <c r="J403" s="8"/>
    </row>
    <row r="404" spans="1:10" x14ac:dyDescent="0.2">
      <c r="A404" s="82"/>
      <c r="B404" s="70"/>
      <c r="C404" s="70"/>
      <c r="D404" s="8"/>
      <c r="E404" s="8"/>
      <c r="I404" s="8"/>
      <c r="J404" s="8"/>
    </row>
    <row r="405" spans="1:10" x14ac:dyDescent="0.2">
      <c r="A405" s="82"/>
      <c r="B405" s="70"/>
      <c r="C405" s="70"/>
      <c r="D405" s="8"/>
      <c r="E405" s="8"/>
      <c r="I405" s="8"/>
      <c r="J405" s="8"/>
    </row>
    <row r="406" spans="1:10" x14ac:dyDescent="0.2">
      <c r="A406" s="82"/>
      <c r="B406" s="70"/>
      <c r="C406" s="70"/>
      <c r="D406" s="8"/>
      <c r="E406" s="8"/>
      <c r="I406" s="8"/>
      <c r="J406" s="8"/>
    </row>
    <row r="407" spans="1:10" x14ac:dyDescent="0.2">
      <c r="A407" s="82"/>
      <c r="B407" s="70"/>
      <c r="C407" s="70"/>
      <c r="D407" s="8"/>
      <c r="E407" s="8"/>
      <c r="I407" s="8"/>
      <c r="J407" s="8"/>
    </row>
    <row r="408" spans="1:10" x14ac:dyDescent="0.2">
      <c r="A408" s="82"/>
      <c r="B408" s="70"/>
      <c r="C408" s="70"/>
      <c r="D408" s="8"/>
      <c r="E408" s="8"/>
      <c r="I408" s="8"/>
      <c r="J408" s="8"/>
    </row>
    <row r="409" spans="1:10" x14ac:dyDescent="0.2">
      <c r="A409" s="82"/>
      <c r="B409" s="70"/>
      <c r="C409" s="70"/>
      <c r="D409" s="8"/>
      <c r="E409" s="8"/>
      <c r="I409" s="8"/>
      <c r="J409" s="8"/>
    </row>
    <row r="410" spans="1:10" x14ac:dyDescent="0.2">
      <c r="A410" s="82"/>
      <c r="B410" s="70"/>
      <c r="C410" s="70"/>
      <c r="D410" s="8"/>
      <c r="E410" s="8"/>
      <c r="I410" s="8"/>
      <c r="J410" s="8"/>
    </row>
    <row r="411" spans="1:10" x14ac:dyDescent="0.2">
      <c r="A411" s="82"/>
      <c r="B411" s="70"/>
      <c r="C411" s="70"/>
      <c r="D411" s="8"/>
      <c r="E411" s="8"/>
      <c r="I411" s="8"/>
      <c r="J411" s="8"/>
    </row>
    <row r="412" spans="1:10" x14ac:dyDescent="0.2">
      <c r="A412" s="82"/>
      <c r="B412" s="70"/>
      <c r="C412" s="70"/>
      <c r="D412" s="8"/>
      <c r="E412" s="8"/>
      <c r="I412" s="8"/>
      <c r="J412" s="8"/>
    </row>
    <row r="413" spans="1:10" x14ac:dyDescent="0.2">
      <c r="A413" s="82"/>
      <c r="B413" s="70"/>
      <c r="C413" s="70"/>
      <c r="D413" s="8"/>
      <c r="E413" s="8"/>
      <c r="I413" s="8"/>
      <c r="J413" s="8"/>
    </row>
    <row r="414" spans="1:10" x14ac:dyDescent="0.2">
      <c r="A414" s="82"/>
      <c r="B414" s="70"/>
      <c r="C414" s="70"/>
      <c r="D414" s="8"/>
      <c r="E414" s="8"/>
      <c r="I414" s="8"/>
      <c r="J414" s="8"/>
    </row>
    <row r="415" spans="1:10" x14ac:dyDescent="0.2">
      <c r="A415" s="82"/>
      <c r="B415" s="70"/>
      <c r="C415" s="70"/>
      <c r="D415" s="8"/>
      <c r="E415" s="8"/>
      <c r="I415" s="8"/>
      <c r="J415" s="8"/>
    </row>
    <row r="416" spans="1:10" x14ac:dyDescent="0.2">
      <c r="A416" s="82"/>
      <c r="B416" s="70"/>
      <c r="C416" s="70"/>
      <c r="D416" s="8"/>
      <c r="E416" s="8"/>
      <c r="I416" s="8"/>
      <c r="J416" s="8"/>
    </row>
    <row r="417" spans="1:10" x14ac:dyDescent="0.2">
      <c r="A417" s="82"/>
      <c r="B417" s="70"/>
      <c r="C417" s="70"/>
      <c r="D417" s="8"/>
      <c r="E417" s="8"/>
      <c r="I417" s="8"/>
      <c r="J417" s="8"/>
    </row>
    <row r="418" spans="1:10" x14ac:dyDescent="0.2">
      <c r="A418" s="82"/>
      <c r="B418" s="70"/>
      <c r="C418" s="70"/>
      <c r="D418" s="8"/>
      <c r="E418" s="8"/>
      <c r="I418" s="8"/>
      <c r="J418" s="8"/>
    </row>
    <row r="419" spans="1:10" x14ac:dyDescent="0.2">
      <c r="A419" s="82"/>
      <c r="B419" s="70"/>
      <c r="C419" s="70"/>
      <c r="D419" s="8"/>
      <c r="E419" s="8"/>
      <c r="I419" s="8"/>
      <c r="J419" s="8"/>
    </row>
    <row r="420" spans="1:10" x14ac:dyDescent="0.2">
      <c r="A420" s="82"/>
      <c r="B420" s="70"/>
      <c r="C420" s="70"/>
      <c r="D420" s="8"/>
      <c r="E420" s="8"/>
      <c r="I420" s="8"/>
      <c r="J420" s="8"/>
    </row>
    <row r="421" spans="1:10" x14ac:dyDescent="0.2">
      <c r="A421" s="82"/>
      <c r="B421" s="70"/>
      <c r="C421" s="70"/>
      <c r="D421" s="8"/>
      <c r="E421" s="8"/>
      <c r="I421" s="8"/>
      <c r="J421" s="8"/>
    </row>
    <row r="422" spans="1:10" x14ac:dyDescent="0.2">
      <c r="A422" s="82"/>
      <c r="B422" s="70"/>
      <c r="C422" s="70"/>
      <c r="D422" s="8"/>
      <c r="E422" s="8"/>
      <c r="I422" s="8"/>
      <c r="J422" s="8"/>
    </row>
    <row r="423" spans="1:10" x14ac:dyDescent="0.2">
      <c r="A423" s="82"/>
      <c r="B423" s="70"/>
      <c r="C423" s="70"/>
      <c r="D423" s="8"/>
      <c r="E423" s="8"/>
      <c r="I423" s="8"/>
      <c r="J423" s="8"/>
    </row>
    <row r="424" spans="1:10" x14ac:dyDescent="0.2">
      <c r="A424" s="82"/>
      <c r="B424" s="70"/>
      <c r="C424" s="70"/>
      <c r="D424" s="8"/>
      <c r="E424" s="8"/>
      <c r="I424" s="8"/>
      <c r="J424" s="8"/>
    </row>
    <row r="425" spans="1:10" x14ac:dyDescent="0.2">
      <c r="A425" s="82"/>
      <c r="B425" s="70"/>
      <c r="C425" s="70"/>
      <c r="D425" s="8"/>
      <c r="E425" s="8"/>
      <c r="I425" s="8"/>
      <c r="J425" s="8"/>
    </row>
    <row r="426" spans="1:10" x14ac:dyDescent="0.2">
      <c r="A426" s="82"/>
      <c r="B426" s="70"/>
      <c r="C426" s="70"/>
      <c r="D426" s="8"/>
      <c r="E426" s="8"/>
      <c r="I426" s="8"/>
      <c r="J426" s="8"/>
    </row>
    <row r="427" spans="1:10" x14ac:dyDescent="0.2">
      <c r="A427" s="82"/>
      <c r="B427" s="70"/>
      <c r="C427" s="70"/>
      <c r="D427" s="8"/>
      <c r="E427" s="8"/>
      <c r="I427" s="8"/>
      <c r="J427" s="8"/>
    </row>
    <row r="428" spans="1:10" x14ac:dyDescent="0.2">
      <c r="A428" s="82"/>
      <c r="B428" s="70"/>
      <c r="C428" s="70"/>
      <c r="D428" s="8"/>
      <c r="E428" s="8"/>
      <c r="I428" s="8"/>
      <c r="J428" s="8"/>
    </row>
    <row r="429" spans="1:10" x14ac:dyDescent="0.2">
      <c r="A429" s="82"/>
      <c r="B429" s="70"/>
      <c r="C429" s="70"/>
      <c r="D429" s="8"/>
      <c r="E429" s="8"/>
      <c r="I429" s="8"/>
      <c r="J429" s="8"/>
    </row>
    <row r="430" spans="1:10" x14ac:dyDescent="0.2">
      <c r="A430" s="82"/>
      <c r="B430" s="70"/>
      <c r="C430" s="70"/>
      <c r="D430" s="8"/>
      <c r="E430" s="8"/>
      <c r="I430" s="8"/>
      <c r="J430" s="8"/>
    </row>
    <row r="431" spans="1:10" x14ac:dyDescent="0.2">
      <c r="A431" s="82"/>
      <c r="B431" s="70"/>
      <c r="C431" s="70"/>
      <c r="D431" s="8"/>
      <c r="E431" s="8"/>
      <c r="I431" s="8"/>
      <c r="J431" s="8"/>
    </row>
    <row r="432" spans="1:10" x14ac:dyDescent="0.2">
      <c r="A432" s="82"/>
      <c r="B432" s="70"/>
      <c r="C432" s="70"/>
      <c r="D432" s="8"/>
      <c r="E432" s="8"/>
      <c r="I432" s="8"/>
      <c r="J432" s="8"/>
    </row>
    <row r="433" spans="1:10" x14ac:dyDescent="0.2">
      <c r="A433" s="82"/>
      <c r="B433" s="70"/>
      <c r="C433" s="70"/>
      <c r="D433" s="8"/>
      <c r="E433" s="8"/>
      <c r="I433" s="8"/>
      <c r="J433" s="8"/>
    </row>
    <row r="434" spans="1:10" x14ac:dyDescent="0.2">
      <c r="A434" s="82"/>
      <c r="B434" s="70"/>
      <c r="C434" s="70"/>
      <c r="D434" s="8"/>
      <c r="E434" s="8"/>
      <c r="I434" s="8"/>
      <c r="J434" s="8"/>
    </row>
    <row r="435" spans="1:10" x14ac:dyDescent="0.2">
      <c r="A435" s="82"/>
      <c r="B435" s="70"/>
      <c r="C435" s="70"/>
      <c r="D435" s="8"/>
      <c r="E435" s="8"/>
      <c r="I435" s="8"/>
      <c r="J435" s="8"/>
    </row>
    <row r="436" spans="1:10" x14ac:dyDescent="0.2">
      <c r="A436" s="82"/>
      <c r="B436" s="70"/>
      <c r="C436" s="70"/>
      <c r="D436" s="8"/>
      <c r="E436" s="8"/>
      <c r="I436" s="8"/>
      <c r="J436" s="8"/>
    </row>
    <row r="437" spans="1:10" x14ac:dyDescent="0.2">
      <c r="A437" s="82"/>
      <c r="B437" s="70"/>
      <c r="C437" s="70"/>
      <c r="D437" s="8"/>
      <c r="E437" s="8"/>
      <c r="I437" s="8"/>
      <c r="J437" s="8"/>
    </row>
    <row r="438" spans="1:10" x14ac:dyDescent="0.2">
      <c r="A438" s="82"/>
      <c r="B438" s="70"/>
      <c r="C438" s="70"/>
      <c r="D438" s="8"/>
      <c r="E438" s="8"/>
      <c r="I438" s="8"/>
      <c r="J438" s="8"/>
    </row>
    <row r="439" spans="1:10" x14ac:dyDescent="0.2">
      <c r="A439" s="82"/>
      <c r="B439" s="70"/>
      <c r="C439" s="70"/>
      <c r="D439" s="8"/>
      <c r="E439" s="8"/>
      <c r="I439" s="8"/>
      <c r="J439" s="8"/>
    </row>
    <row r="440" spans="1:10" x14ac:dyDescent="0.2">
      <c r="A440" s="82"/>
      <c r="B440" s="70"/>
      <c r="C440" s="70"/>
      <c r="D440" s="8"/>
      <c r="E440" s="8"/>
      <c r="I440" s="8"/>
      <c r="J440" s="8"/>
    </row>
    <row r="441" spans="1:10" x14ac:dyDescent="0.2">
      <c r="A441" s="82"/>
      <c r="B441" s="70"/>
      <c r="C441" s="70"/>
      <c r="D441" s="8"/>
      <c r="E441" s="8"/>
      <c r="I441" s="8"/>
      <c r="J441" s="8"/>
    </row>
    <row r="442" spans="1:10" x14ac:dyDescent="0.2">
      <c r="A442" s="82"/>
      <c r="B442" s="70"/>
      <c r="C442" s="70"/>
      <c r="D442" s="8"/>
      <c r="E442" s="8"/>
      <c r="I442" s="8"/>
      <c r="J442" s="8"/>
    </row>
    <row r="443" spans="1:10" x14ac:dyDescent="0.2">
      <c r="A443" s="82"/>
      <c r="B443" s="70"/>
      <c r="C443" s="70"/>
      <c r="D443" s="8"/>
      <c r="E443" s="8"/>
      <c r="I443" s="8"/>
      <c r="J443" s="8"/>
    </row>
    <row r="444" spans="1:10" x14ac:dyDescent="0.2">
      <c r="A444" s="82"/>
      <c r="B444" s="70"/>
      <c r="C444" s="70"/>
      <c r="D444" s="8"/>
      <c r="E444" s="8"/>
      <c r="I444" s="8"/>
      <c r="J444" s="8"/>
    </row>
    <row r="445" spans="1:10" x14ac:dyDescent="0.2">
      <c r="A445" s="82"/>
      <c r="B445" s="70"/>
      <c r="C445" s="70"/>
      <c r="D445" s="8"/>
      <c r="E445" s="8"/>
      <c r="I445" s="8"/>
      <c r="J445" s="8"/>
    </row>
    <row r="446" spans="1:10" x14ac:dyDescent="0.2">
      <c r="A446" s="82"/>
      <c r="B446" s="70"/>
      <c r="C446" s="70"/>
      <c r="D446" s="8"/>
      <c r="E446" s="8"/>
      <c r="I446" s="8"/>
      <c r="J446" s="8"/>
    </row>
    <row r="447" spans="1:10" x14ac:dyDescent="0.2">
      <c r="A447" s="82"/>
      <c r="B447" s="70"/>
      <c r="C447" s="70"/>
      <c r="D447" s="8"/>
      <c r="E447" s="8"/>
      <c r="I447" s="8"/>
      <c r="J447" s="8"/>
    </row>
    <row r="448" spans="1:10" x14ac:dyDescent="0.2">
      <c r="A448" s="82"/>
      <c r="B448" s="70"/>
      <c r="C448" s="70"/>
      <c r="D448" s="8"/>
      <c r="E448" s="8"/>
      <c r="I448" s="8"/>
      <c r="J448" s="8"/>
    </row>
    <row r="449" spans="1:10" x14ac:dyDescent="0.2">
      <c r="A449" s="82"/>
      <c r="B449" s="70"/>
      <c r="C449" s="70"/>
      <c r="D449" s="8"/>
      <c r="E449" s="8"/>
      <c r="I449" s="8"/>
      <c r="J449" s="8"/>
    </row>
    <row r="450" spans="1:10" x14ac:dyDescent="0.2">
      <c r="A450" s="82"/>
      <c r="B450" s="70"/>
      <c r="C450" s="70"/>
      <c r="D450" s="8"/>
      <c r="E450" s="8"/>
      <c r="I450" s="8"/>
      <c r="J450" s="8"/>
    </row>
    <row r="451" spans="1:10" x14ac:dyDescent="0.2">
      <c r="A451" s="82"/>
      <c r="B451" s="70"/>
      <c r="C451" s="70"/>
      <c r="D451" s="8"/>
      <c r="E451" s="8"/>
      <c r="I451" s="8"/>
      <c r="J451" s="8"/>
    </row>
    <row r="452" spans="1:10" x14ac:dyDescent="0.2">
      <c r="A452" s="82"/>
      <c r="B452" s="70"/>
      <c r="C452" s="70"/>
      <c r="D452" s="8"/>
      <c r="E452" s="8"/>
      <c r="I452" s="8"/>
      <c r="J452" s="8"/>
    </row>
    <row r="453" spans="1:10" x14ac:dyDescent="0.2">
      <c r="A453" s="82"/>
      <c r="B453" s="70"/>
      <c r="C453" s="70"/>
      <c r="D453" s="8"/>
      <c r="E453" s="8"/>
      <c r="I453" s="8"/>
      <c r="J453" s="8"/>
    </row>
    <row r="454" spans="1:10" x14ac:dyDescent="0.2">
      <c r="A454" s="82"/>
      <c r="B454" s="70"/>
      <c r="C454" s="70"/>
      <c r="D454" s="8"/>
      <c r="E454" s="8"/>
      <c r="I454" s="8"/>
      <c r="J454" s="8"/>
    </row>
    <row r="455" spans="1:10" x14ac:dyDescent="0.2">
      <c r="A455" s="82"/>
      <c r="B455" s="70"/>
      <c r="C455" s="70"/>
      <c r="D455" s="8"/>
      <c r="E455" s="8"/>
      <c r="I455" s="8"/>
      <c r="J455" s="8"/>
    </row>
    <row r="456" spans="1:10" x14ac:dyDescent="0.2">
      <c r="A456" s="82"/>
      <c r="B456" s="70"/>
      <c r="C456" s="70"/>
      <c r="D456" s="8"/>
      <c r="E456" s="8"/>
      <c r="I456" s="8"/>
      <c r="J456" s="8"/>
    </row>
    <row r="457" spans="1:10" x14ac:dyDescent="0.2">
      <c r="A457" s="82"/>
      <c r="B457" s="70"/>
      <c r="C457" s="70"/>
      <c r="D457" s="8"/>
      <c r="E457" s="8"/>
      <c r="I457" s="8"/>
      <c r="J457" s="8"/>
    </row>
    <row r="458" spans="1:10" x14ac:dyDescent="0.2">
      <c r="A458" s="82"/>
      <c r="B458" s="70"/>
      <c r="C458" s="70"/>
      <c r="D458" s="8"/>
      <c r="E458" s="8"/>
      <c r="I458" s="8"/>
      <c r="J458" s="8"/>
    </row>
    <row r="459" spans="1:10" x14ac:dyDescent="0.2">
      <c r="A459" s="82"/>
      <c r="B459" s="70"/>
      <c r="C459" s="70"/>
      <c r="D459" s="8"/>
      <c r="E459" s="8"/>
      <c r="I459" s="8"/>
      <c r="J459" s="8"/>
    </row>
    <row r="460" spans="1:10" x14ac:dyDescent="0.2">
      <c r="A460" s="82"/>
      <c r="B460" s="70"/>
      <c r="C460" s="70"/>
      <c r="D460" s="8"/>
      <c r="E460" s="8"/>
      <c r="I460" s="8"/>
      <c r="J460" s="8"/>
    </row>
    <row r="461" spans="1:10" x14ac:dyDescent="0.2">
      <c r="A461" s="82"/>
      <c r="B461" s="70"/>
      <c r="C461" s="70"/>
      <c r="D461" s="8"/>
      <c r="E461" s="8"/>
      <c r="I461" s="8"/>
      <c r="J461" s="8"/>
    </row>
    <row r="462" spans="1:10" x14ac:dyDescent="0.2">
      <c r="A462" s="82"/>
      <c r="B462" s="70"/>
      <c r="C462" s="70"/>
      <c r="D462" s="8"/>
      <c r="E462" s="8"/>
      <c r="I462" s="8"/>
      <c r="J462" s="8"/>
    </row>
    <row r="463" spans="1:10" x14ac:dyDescent="0.2">
      <c r="A463" s="82"/>
      <c r="B463" s="70"/>
      <c r="C463" s="70"/>
      <c r="D463" s="8"/>
      <c r="E463" s="8"/>
      <c r="I463" s="8"/>
      <c r="J463" s="8"/>
    </row>
    <row r="464" spans="1:10" x14ac:dyDescent="0.2">
      <c r="A464" s="82"/>
      <c r="B464" s="70"/>
      <c r="C464" s="70"/>
      <c r="D464" s="8"/>
      <c r="E464" s="8"/>
      <c r="I464" s="8"/>
      <c r="J464" s="8"/>
    </row>
    <row r="465" spans="1:10" x14ac:dyDescent="0.2">
      <c r="A465" s="82"/>
      <c r="B465" s="70"/>
      <c r="C465" s="70"/>
      <c r="D465" s="8"/>
      <c r="E465" s="8"/>
      <c r="I465" s="8"/>
      <c r="J465" s="8"/>
    </row>
    <row r="466" spans="1:10" x14ac:dyDescent="0.2">
      <c r="A466" s="82"/>
      <c r="B466" s="70"/>
      <c r="C466" s="70"/>
      <c r="D466" s="8"/>
      <c r="E466" s="8"/>
      <c r="I466" s="8"/>
      <c r="J466" s="8"/>
    </row>
    <row r="467" spans="1:10" x14ac:dyDescent="0.2">
      <c r="A467" s="82"/>
      <c r="B467" s="70"/>
      <c r="C467" s="70"/>
      <c r="D467" s="8"/>
      <c r="E467" s="8"/>
      <c r="I467" s="8"/>
      <c r="J467" s="8"/>
    </row>
    <row r="468" spans="1:10" x14ac:dyDescent="0.2">
      <c r="A468" s="82"/>
      <c r="B468" s="70"/>
      <c r="C468" s="70"/>
      <c r="D468" s="8"/>
      <c r="E468" s="8"/>
      <c r="I468" s="8"/>
      <c r="J468" s="8"/>
    </row>
    <row r="469" spans="1:10" x14ac:dyDescent="0.2">
      <c r="A469" s="82"/>
      <c r="B469" s="70"/>
      <c r="C469" s="70"/>
      <c r="D469" s="8"/>
      <c r="E469" s="8"/>
      <c r="I469" s="8"/>
      <c r="J469" s="8"/>
    </row>
    <row r="470" spans="1:10" x14ac:dyDescent="0.2">
      <c r="A470" s="82"/>
      <c r="B470" s="70"/>
      <c r="C470" s="70"/>
      <c r="D470" s="8"/>
      <c r="E470" s="8"/>
      <c r="I470" s="8"/>
      <c r="J470" s="8"/>
    </row>
    <row r="471" spans="1:10" x14ac:dyDescent="0.2">
      <c r="A471" s="82"/>
      <c r="B471" s="70"/>
      <c r="C471" s="70"/>
      <c r="D471" s="8"/>
      <c r="E471" s="8"/>
      <c r="I471" s="8"/>
      <c r="J471" s="8"/>
    </row>
    <row r="472" spans="1:10" x14ac:dyDescent="0.2">
      <c r="A472" s="82"/>
      <c r="B472" s="70"/>
      <c r="C472" s="70"/>
      <c r="D472" s="8"/>
      <c r="E472" s="8"/>
      <c r="I472" s="8"/>
      <c r="J472" s="8"/>
    </row>
    <row r="473" spans="1:10" x14ac:dyDescent="0.2">
      <c r="A473" s="82"/>
      <c r="B473" s="70"/>
      <c r="C473" s="70"/>
      <c r="D473" s="8"/>
      <c r="E473" s="8"/>
      <c r="I473" s="8"/>
      <c r="J473" s="8"/>
    </row>
    <row r="474" spans="1:10" x14ac:dyDescent="0.2">
      <c r="A474" s="82"/>
      <c r="B474" s="70"/>
      <c r="C474" s="70"/>
      <c r="D474" s="8"/>
      <c r="E474" s="8"/>
      <c r="I474" s="8"/>
      <c r="J474" s="8"/>
    </row>
    <row r="475" spans="1:10" x14ac:dyDescent="0.2">
      <c r="A475" s="82"/>
      <c r="B475" s="70"/>
      <c r="C475" s="70"/>
      <c r="D475" s="8"/>
      <c r="E475" s="8"/>
      <c r="I475" s="8"/>
      <c r="J475" s="8"/>
    </row>
    <row r="476" spans="1:10" x14ac:dyDescent="0.2">
      <c r="A476" s="82"/>
      <c r="B476" s="70"/>
      <c r="C476" s="70"/>
      <c r="D476" s="8"/>
      <c r="E476" s="8"/>
      <c r="I476" s="8"/>
      <c r="J476" s="8"/>
    </row>
    <row r="477" spans="1:10" x14ac:dyDescent="0.2">
      <c r="A477" s="82"/>
      <c r="B477" s="70"/>
      <c r="C477" s="70"/>
      <c r="D477" s="8"/>
      <c r="E477" s="8"/>
      <c r="I477" s="8"/>
      <c r="J477" s="8"/>
    </row>
    <row r="478" spans="1:10" x14ac:dyDescent="0.2">
      <c r="A478" s="82"/>
      <c r="B478" s="70"/>
      <c r="C478" s="70"/>
      <c r="D478" s="8"/>
      <c r="E478" s="8"/>
      <c r="I478" s="8"/>
      <c r="J478" s="8"/>
    </row>
    <row r="479" spans="1:10" x14ac:dyDescent="0.2">
      <c r="A479" s="82"/>
      <c r="B479" s="70"/>
      <c r="C479" s="70"/>
      <c r="D479" s="8"/>
      <c r="E479" s="8"/>
      <c r="I479" s="8"/>
      <c r="J479" s="8"/>
    </row>
    <row r="480" spans="1:10" x14ac:dyDescent="0.2">
      <c r="A480" s="82"/>
      <c r="B480" s="70"/>
      <c r="C480" s="70"/>
      <c r="D480" s="8"/>
      <c r="E480" s="8"/>
      <c r="I480" s="8"/>
      <c r="J480" s="8"/>
    </row>
    <row r="481" spans="1:10" x14ac:dyDescent="0.2">
      <c r="A481" s="82"/>
      <c r="B481" s="70"/>
      <c r="C481" s="70"/>
      <c r="D481" s="8"/>
      <c r="E481" s="8"/>
      <c r="I481" s="8"/>
      <c r="J481" s="8"/>
    </row>
    <row r="482" spans="1:10" x14ac:dyDescent="0.2">
      <c r="A482" s="82"/>
      <c r="B482" s="70"/>
      <c r="C482" s="70"/>
      <c r="D482" s="8"/>
      <c r="E482" s="8"/>
      <c r="I482" s="8"/>
      <c r="J482" s="8"/>
    </row>
    <row r="483" spans="1:10" x14ac:dyDescent="0.2">
      <c r="A483" s="82"/>
      <c r="B483" s="70"/>
      <c r="C483" s="70"/>
      <c r="D483" s="8"/>
      <c r="E483" s="8"/>
      <c r="I483" s="8"/>
      <c r="J483" s="8"/>
    </row>
    <row r="484" spans="1:10" x14ac:dyDescent="0.2">
      <c r="A484" s="82"/>
      <c r="B484" s="70"/>
      <c r="C484" s="70"/>
      <c r="D484" s="8"/>
      <c r="E484" s="8"/>
      <c r="I484" s="8"/>
      <c r="J484" s="8"/>
    </row>
    <row r="485" spans="1:10" x14ac:dyDescent="0.2">
      <c r="A485" s="82"/>
      <c r="B485" s="70"/>
      <c r="C485" s="70"/>
      <c r="D485" s="8"/>
      <c r="E485" s="8"/>
      <c r="I485" s="8"/>
      <c r="J485" s="8"/>
    </row>
    <row r="486" spans="1:10" x14ac:dyDescent="0.2">
      <c r="A486" s="82"/>
      <c r="B486" s="70"/>
      <c r="C486" s="70"/>
      <c r="D486" s="8"/>
      <c r="E486" s="8"/>
      <c r="I486" s="8"/>
      <c r="J486" s="8"/>
    </row>
    <row r="487" spans="1:10" x14ac:dyDescent="0.2">
      <c r="A487" s="82"/>
      <c r="B487" s="70"/>
      <c r="C487" s="70"/>
      <c r="D487" s="8"/>
      <c r="E487" s="8"/>
      <c r="I487" s="8"/>
      <c r="J487" s="8"/>
    </row>
    <row r="488" spans="1:10" x14ac:dyDescent="0.2">
      <c r="A488" s="82"/>
      <c r="B488" s="70"/>
      <c r="C488" s="70"/>
      <c r="D488" s="8"/>
      <c r="E488" s="8"/>
      <c r="I488" s="8"/>
      <c r="J488" s="8"/>
    </row>
    <row r="489" spans="1:10" x14ac:dyDescent="0.2">
      <c r="A489" s="82"/>
      <c r="B489" s="70"/>
      <c r="C489" s="70"/>
      <c r="D489" s="8"/>
      <c r="E489" s="8"/>
      <c r="I489" s="8"/>
      <c r="J489" s="8"/>
    </row>
    <row r="490" spans="1:10" x14ac:dyDescent="0.2">
      <c r="A490" s="82"/>
      <c r="B490" s="70"/>
      <c r="C490" s="70"/>
      <c r="D490" s="8"/>
      <c r="E490" s="8"/>
      <c r="I490" s="8"/>
      <c r="J490" s="8"/>
    </row>
    <row r="491" spans="1:10" x14ac:dyDescent="0.2">
      <c r="A491" s="82"/>
      <c r="B491" s="70"/>
      <c r="C491" s="70"/>
      <c r="D491" s="8"/>
      <c r="E491" s="8"/>
      <c r="I491" s="8"/>
      <c r="J491" s="8"/>
    </row>
    <row r="492" spans="1:10" x14ac:dyDescent="0.2">
      <c r="A492" s="82"/>
      <c r="B492" s="70"/>
      <c r="C492" s="70"/>
      <c r="D492" s="8"/>
      <c r="E492" s="8"/>
      <c r="I492" s="8"/>
      <c r="J492" s="8"/>
    </row>
    <row r="493" spans="1:10" x14ac:dyDescent="0.2">
      <c r="A493" s="82"/>
      <c r="B493" s="70"/>
      <c r="C493" s="70"/>
      <c r="D493" s="8"/>
      <c r="E493" s="8"/>
      <c r="I493" s="8"/>
      <c r="J493" s="8"/>
    </row>
    <row r="494" spans="1:10" x14ac:dyDescent="0.2">
      <c r="A494" s="82"/>
      <c r="B494" s="70"/>
      <c r="C494" s="70"/>
      <c r="D494" s="8"/>
      <c r="E494" s="8"/>
      <c r="I494" s="8"/>
      <c r="J494" s="8"/>
    </row>
    <row r="495" spans="1:10" x14ac:dyDescent="0.2">
      <c r="A495" s="82"/>
      <c r="B495" s="70"/>
      <c r="C495" s="70"/>
      <c r="D495" s="8"/>
      <c r="E495" s="8"/>
      <c r="I495" s="8"/>
      <c r="J495" s="8"/>
    </row>
    <row r="496" spans="1:10" x14ac:dyDescent="0.2">
      <c r="A496" s="82"/>
      <c r="B496" s="70"/>
      <c r="C496" s="70"/>
      <c r="D496" s="8"/>
      <c r="E496" s="8"/>
      <c r="I496" s="8"/>
      <c r="J496" s="8"/>
    </row>
    <row r="497" spans="1:10" x14ac:dyDescent="0.2">
      <c r="A497" s="82"/>
      <c r="B497" s="70"/>
      <c r="C497" s="70"/>
      <c r="D497" s="8"/>
      <c r="E497" s="8"/>
      <c r="I497" s="8"/>
      <c r="J497" s="8"/>
    </row>
    <row r="498" spans="1:10" x14ac:dyDescent="0.2">
      <c r="A498" s="82"/>
      <c r="B498" s="70"/>
      <c r="C498" s="70"/>
      <c r="D498" s="8"/>
      <c r="E498" s="8"/>
      <c r="I498" s="8"/>
      <c r="J498" s="8"/>
    </row>
    <row r="499" spans="1:10" x14ac:dyDescent="0.2">
      <c r="A499" s="82"/>
      <c r="B499" s="70"/>
      <c r="C499" s="70"/>
      <c r="D499" s="8"/>
      <c r="E499" s="8"/>
      <c r="I499" s="8"/>
      <c r="J499" s="8"/>
    </row>
    <row r="500" spans="1:10" x14ac:dyDescent="0.2">
      <c r="A500" s="82"/>
      <c r="B500" s="70"/>
      <c r="C500" s="70"/>
      <c r="D500" s="8"/>
      <c r="E500" s="8"/>
      <c r="I500" s="8"/>
      <c r="J500" s="8"/>
    </row>
    <row r="501" spans="1:10" x14ac:dyDescent="0.2">
      <c r="A501" s="82"/>
      <c r="B501" s="70"/>
      <c r="C501" s="70"/>
      <c r="D501" s="8"/>
      <c r="E501" s="8"/>
      <c r="I501" s="8"/>
      <c r="J501" s="8"/>
    </row>
    <row r="502" spans="1:10" x14ac:dyDescent="0.2">
      <c r="A502" s="82"/>
      <c r="B502" s="70"/>
      <c r="C502" s="70"/>
      <c r="D502" s="8"/>
      <c r="E502" s="8"/>
      <c r="I502" s="8"/>
      <c r="J502" s="8"/>
    </row>
    <row r="503" spans="1:10" x14ac:dyDescent="0.2">
      <c r="A503" s="82"/>
      <c r="B503" s="70"/>
      <c r="C503" s="70"/>
      <c r="D503" s="8"/>
      <c r="E503" s="8"/>
      <c r="I503" s="8"/>
      <c r="J503" s="8"/>
    </row>
    <row r="504" spans="1:10" x14ac:dyDescent="0.2">
      <c r="A504" s="82"/>
      <c r="B504" s="70"/>
      <c r="C504" s="70"/>
      <c r="D504" s="8"/>
      <c r="E504" s="8"/>
      <c r="I504" s="8"/>
      <c r="J504" s="8"/>
    </row>
    <row r="505" spans="1:10" x14ac:dyDescent="0.2">
      <c r="A505" s="82"/>
      <c r="B505" s="70"/>
      <c r="C505" s="70"/>
      <c r="D505" s="8"/>
      <c r="E505" s="8"/>
      <c r="I505" s="8"/>
      <c r="J505" s="8"/>
    </row>
    <row r="506" spans="1:10" x14ac:dyDescent="0.2">
      <c r="A506" s="82"/>
      <c r="B506" s="70"/>
      <c r="C506" s="70"/>
      <c r="D506" s="8"/>
      <c r="E506" s="8"/>
      <c r="I506" s="8"/>
      <c r="J506" s="8"/>
    </row>
    <row r="507" spans="1:10" x14ac:dyDescent="0.2">
      <c r="A507" s="82"/>
      <c r="B507" s="70"/>
      <c r="C507" s="70"/>
      <c r="D507" s="8"/>
      <c r="E507" s="8"/>
      <c r="I507" s="8"/>
      <c r="J507" s="8"/>
    </row>
    <row r="508" spans="1:10" x14ac:dyDescent="0.2">
      <c r="A508" s="82"/>
      <c r="B508" s="70"/>
      <c r="C508" s="70"/>
      <c r="D508" s="8"/>
      <c r="E508" s="8"/>
      <c r="I508" s="8"/>
      <c r="J508" s="8"/>
    </row>
    <row r="509" spans="1:10" x14ac:dyDescent="0.2">
      <c r="A509" s="82"/>
      <c r="B509" s="70"/>
      <c r="C509" s="70"/>
      <c r="D509" s="8"/>
      <c r="E509" s="8"/>
      <c r="I509" s="8"/>
      <c r="J509" s="8"/>
    </row>
    <row r="510" spans="1:10" x14ac:dyDescent="0.2">
      <c r="A510" s="82"/>
      <c r="B510" s="70"/>
      <c r="C510" s="70"/>
      <c r="D510" s="8"/>
      <c r="E510" s="8"/>
      <c r="I510" s="8"/>
      <c r="J510" s="8"/>
    </row>
    <row r="511" spans="1:10" x14ac:dyDescent="0.2">
      <c r="A511" s="82"/>
      <c r="B511" s="70"/>
      <c r="C511" s="70"/>
      <c r="D511" s="8"/>
      <c r="E511" s="8"/>
      <c r="I511" s="8"/>
      <c r="J511" s="8"/>
    </row>
    <row r="512" spans="1:10" x14ac:dyDescent="0.2">
      <c r="A512" s="82"/>
      <c r="B512" s="70"/>
      <c r="C512" s="70"/>
      <c r="D512" s="8"/>
      <c r="E512" s="8"/>
      <c r="I512" s="8"/>
      <c r="J512" s="8"/>
    </row>
    <row r="513" spans="1:10" x14ac:dyDescent="0.2">
      <c r="A513" s="82"/>
      <c r="B513" s="70"/>
      <c r="C513" s="70"/>
      <c r="D513" s="8"/>
      <c r="E513" s="8"/>
      <c r="I513" s="8"/>
      <c r="J513" s="8"/>
    </row>
    <row r="514" spans="1:10" x14ac:dyDescent="0.2">
      <c r="A514" s="82"/>
      <c r="B514" s="70"/>
      <c r="C514" s="70"/>
      <c r="D514" s="8"/>
      <c r="E514" s="8"/>
      <c r="I514" s="8"/>
      <c r="J514" s="8"/>
    </row>
    <row r="515" spans="1:10" x14ac:dyDescent="0.2">
      <c r="A515" s="82"/>
      <c r="B515" s="70"/>
      <c r="C515" s="70"/>
      <c r="D515" s="8"/>
      <c r="E515" s="8"/>
      <c r="I515" s="8"/>
      <c r="J515" s="8"/>
    </row>
    <row r="516" spans="1:10" x14ac:dyDescent="0.2">
      <c r="A516" s="82"/>
      <c r="B516" s="70"/>
      <c r="C516" s="70"/>
      <c r="D516" s="8"/>
      <c r="E516" s="8"/>
      <c r="I516" s="8"/>
      <c r="J516" s="8"/>
    </row>
    <row r="517" spans="1:10" x14ac:dyDescent="0.2">
      <c r="A517" s="82"/>
      <c r="B517" s="70"/>
      <c r="C517" s="70"/>
      <c r="D517" s="8"/>
      <c r="E517" s="8"/>
      <c r="I517" s="8"/>
      <c r="J517" s="8"/>
    </row>
    <row r="518" spans="1:10" x14ac:dyDescent="0.2">
      <c r="A518" s="82"/>
      <c r="B518" s="70"/>
      <c r="C518" s="70"/>
      <c r="D518" s="8"/>
      <c r="E518" s="8"/>
      <c r="I518" s="8"/>
      <c r="J518" s="8"/>
    </row>
    <row r="519" spans="1:10" x14ac:dyDescent="0.2">
      <c r="A519" s="82"/>
      <c r="B519" s="70"/>
      <c r="C519" s="70"/>
      <c r="D519" s="8"/>
      <c r="E519" s="8"/>
      <c r="I519" s="8"/>
      <c r="J519" s="8"/>
    </row>
    <row r="520" spans="1:10" x14ac:dyDescent="0.2">
      <c r="A520" s="82"/>
      <c r="B520" s="70"/>
      <c r="C520" s="70"/>
      <c r="D520" s="8"/>
      <c r="E520" s="8"/>
      <c r="I520" s="8"/>
      <c r="J520" s="8"/>
    </row>
    <row r="521" spans="1:10" x14ac:dyDescent="0.2">
      <c r="A521" s="82"/>
      <c r="B521" s="70"/>
      <c r="C521" s="70"/>
      <c r="D521" s="8"/>
      <c r="E521" s="8"/>
      <c r="I521" s="8"/>
      <c r="J521" s="8"/>
    </row>
    <row r="522" spans="1:10" x14ac:dyDescent="0.2">
      <c r="A522" s="82"/>
      <c r="B522" s="70"/>
      <c r="C522" s="70"/>
      <c r="D522" s="8"/>
      <c r="E522" s="8"/>
      <c r="I522" s="8"/>
      <c r="J522" s="8"/>
    </row>
    <row r="523" spans="1:10" x14ac:dyDescent="0.2">
      <c r="A523" s="82"/>
      <c r="B523" s="70"/>
      <c r="C523" s="70"/>
      <c r="D523" s="8"/>
      <c r="E523" s="8"/>
      <c r="I523" s="8"/>
      <c r="J523" s="8"/>
    </row>
    <row r="524" spans="1:10" x14ac:dyDescent="0.2">
      <c r="A524" s="82"/>
      <c r="B524" s="70"/>
      <c r="C524" s="70"/>
      <c r="D524" s="8"/>
      <c r="E524" s="8"/>
      <c r="I524" s="8"/>
      <c r="J524" s="8"/>
    </row>
    <row r="525" spans="1:10" x14ac:dyDescent="0.2">
      <c r="A525" s="82"/>
      <c r="B525" s="70"/>
      <c r="C525" s="70"/>
      <c r="D525" s="8"/>
      <c r="E525" s="8"/>
      <c r="I525" s="8"/>
      <c r="J525" s="8"/>
    </row>
    <row r="526" spans="1:10" x14ac:dyDescent="0.2">
      <c r="A526" s="82"/>
      <c r="B526" s="70"/>
      <c r="C526" s="70"/>
      <c r="D526" s="8"/>
      <c r="E526" s="8"/>
      <c r="I526" s="8"/>
      <c r="J526" s="8"/>
    </row>
    <row r="527" spans="1:10" x14ac:dyDescent="0.2">
      <c r="A527" s="82"/>
      <c r="B527" s="70"/>
      <c r="C527" s="70"/>
      <c r="D527" s="8"/>
      <c r="E527" s="8"/>
      <c r="I527" s="8"/>
      <c r="J527" s="8"/>
    </row>
    <row r="528" spans="1:10" x14ac:dyDescent="0.2">
      <c r="A528" s="82"/>
      <c r="B528" s="70"/>
      <c r="C528" s="70"/>
      <c r="D528" s="8"/>
      <c r="E528" s="8"/>
      <c r="I528" s="8"/>
      <c r="J528" s="8"/>
    </row>
    <row r="529" spans="1:10" x14ac:dyDescent="0.2">
      <c r="A529" s="82"/>
      <c r="B529" s="70"/>
      <c r="C529" s="70"/>
      <c r="D529" s="8"/>
      <c r="E529" s="8"/>
      <c r="I529" s="8"/>
      <c r="J529" s="8"/>
    </row>
    <row r="530" spans="1:10" x14ac:dyDescent="0.2">
      <c r="A530" s="82"/>
      <c r="B530" s="70"/>
      <c r="C530" s="70"/>
      <c r="D530" s="8"/>
      <c r="E530" s="8"/>
      <c r="I530" s="8"/>
      <c r="J530" s="8"/>
    </row>
    <row r="531" spans="1:10" x14ac:dyDescent="0.2">
      <c r="A531" s="82"/>
      <c r="B531" s="70"/>
      <c r="C531" s="70"/>
      <c r="D531" s="8"/>
      <c r="E531" s="8"/>
      <c r="I531" s="8"/>
      <c r="J531" s="8"/>
    </row>
    <row r="532" spans="1:10" x14ac:dyDescent="0.2">
      <c r="A532" s="82"/>
      <c r="B532" s="70"/>
      <c r="C532" s="70"/>
      <c r="D532" s="8"/>
      <c r="E532" s="8"/>
      <c r="I532" s="8"/>
      <c r="J532" s="8"/>
    </row>
    <row r="533" spans="1:10" x14ac:dyDescent="0.2">
      <c r="A533" s="82"/>
      <c r="B533" s="70"/>
      <c r="C533" s="70"/>
      <c r="D533" s="8"/>
      <c r="E533" s="8"/>
      <c r="I533" s="8"/>
      <c r="J533" s="8"/>
    </row>
    <row r="534" spans="1:10" x14ac:dyDescent="0.2">
      <c r="A534" s="82"/>
      <c r="B534" s="70"/>
      <c r="C534" s="70"/>
      <c r="D534" s="8"/>
      <c r="E534" s="8"/>
      <c r="I534" s="8"/>
      <c r="J534" s="8"/>
    </row>
    <row r="535" spans="1:10" x14ac:dyDescent="0.2">
      <c r="A535" s="82"/>
      <c r="B535" s="70"/>
      <c r="C535" s="70"/>
      <c r="D535" s="8"/>
      <c r="E535" s="8"/>
      <c r="I535" s="8"/>
      <c r="J535" s="8"/>
    </row>
    <row r="536" spans="1:10" x14ac:dyDescent="0.2">
      <c r="A536" s="82"/>
      <c r="B536" s="70"/>
      <c r="C536" s="70"/>
      <c r="D536" s="8"/>
      <c r="E536" s="8"/>
      <c r="I536" s="8"/>
      <c r="J536" s="8"/>
    </row>
    <row r="537" spans="1:10" x14ac:dyDescent="0.2">
      <c r="A537" s="82"/>
      <c r="B537" s="70"/>
      <c r="C537" s="70"/>
      <c r="D537" s="8"/>
      <c r="E537" s="8"/>
      <c r="I537" s="8"/>
      <c r="J537" s="8"/>
    </row>
    <row r="538" spans="1:10" x14ac:dyDescent="0.2">
      <c r="A538" s="82"/>
      <c r="B538" s="70"/>
      <c r="C538" s="70"/>
      <c r="D538" s="8"/>
      <c r="E538" s="8"/>
      <c r="I538" s="8"/>
      <c r="J538" s="8"/>
    </row>
    <row r="539" spans="1:10" x14ac:dyDescent="0.2">
      <c r="A539" s="82"/>
      <c r="B539" s="70"/>
      <c r="C539" s="70"/>
      <c r="D539" s="8"/>
      <c r="E539" s="8"/>
      <c r="I539" s="8"/>
      <c r="J539" s="8"/>
    </row>
    <row r="540" spans="1:10" x14ac:dyDescent="0.2">
      <c r="A540" s="82"/>
      <c r="B540" s="70"/>
      <c r="C540" s="70"/>
      <c r="D540" s="8"/>
      <c r="E540" s="8"/>
      <c r="I540" s="8"/>
      <c r="J540" s="8"/>
    </row>
    <row r="541" spans="1:10" x14ac:dyDescent="0.2">
      <c r="A541" s="82"/>
      <c r="B541" s="70"/>
      <c r="C541" s="70"/>
      <c r="D541" s="8"/>
      <c r="E541" s="8"/>
      <c r="I541" s="8"/>
      <c r="J541" s="8"/>
    </row>
    <row r="542" spans="1:10" x14ac:dyDescent="0.2">
      <c r="A542" s="82"/>
      <c r="B542" s="70"/>
      <c r="C542" s="70"/>
      <c r="D542" s="8"/>
      <c r="E542" s="8"/>
      <c r="I542" s="8"/>
      <c r="J542" s="8"/>
    </row>
    <row r="543" spans="1:10" x14ac:dyDescent="0.2">
      <c r="A543" s="82"/>
      <c r="B543" s="70"/>
      <c r="C543" s="70"/>
      <c r="D543" s="8"/>
      <c r="E543" s="8"/>
      <c r="I543" s="8"/>
      <c r="J543" s="8"/>
    </row>
    <row r="544" spans="1:10" x14ac:dyDescent="0.2">
      <c r="A544" s="82"/>
      <c r="B544" s="70"/>
      <c r="C544" s="70"/>
      <c r="D544" s="8"/>
      <c r="E544" s="8"/>
      <c r="I544" s="8"/>
      <c r="J544" s="8"/>
    </row>
    <row r="545" spans="1:10" x14ac:dyDescent="0.2">
      <c r="A545" s="82"/>
      <c r="B545" s="70"/>
      <c r="C545" s="70"/>
      <c r="D545" s="8"/>
      <c r="E545" s="8"/>
      <c r="I545" s="8"/>
      <c r="J545" s="8"/>
    </row>
    <row r="546" spans="1:10" x14ac:dyDescent="0.2">
      <c r="A546" s="82"/>
      <c r="B546" s="70"/>
      <c r="C546" s="70"/>
      <c r="D546" s="8"/>
      <c r="E546" s="8"/>
      <c r="I546" s="8"/>
      <c r="J546" s="8"/>
    </row>
    <row r="547" spans="1:10" x14ac:dyDescent="0.2">
      <c r="A547" s="82"/>
      <c r="B547" s="70"/>
      <c r="C547" s="70"/>
      <c r="D547" s="8"/>
      <c r="E547" s="8"/>
      <c r="I547" s="8"/>
      <c r="J547" s="8"/>
    </row>
    <row r="548" spans="1:10" x14ac:dyDescent="0.2">
      <c r="A548" s="82"/>
      <c r="B548" s="70"/>
      <c r="C548" s="70"/>
      <c r="D548" s="8"/>
      <c r="E548" s="8"/>
      <c r="I548" s="8"/>
      <c r="J548" s="8"/>
    </row>
    <row r="549" spans="1:10" x14ac:dyDescent="0.2">
      <c r="A549" s="82"/>
      <c r="B549" s="70"/>
      <c r="C549" s="70"/>
      <c r="D549" s="8"/>
      <c r="E549" s="8"/>
      <c r="I549" s="8"/>
      <c r="J549" s="8"/>
    </row>
    <row r="550" spans="1:10" x14ac:dyDescent="0.2">
      <c r="A550" s="82"/>
      <c r="B550" s="70"/>
      <c r="C550" s="70"/>
      <c r="D550" s="8"/>
      <c r="E550" s="8"/>
      <c r="I550" s="8"/>
      <c r="J550" s="8"/>
    </row>
    <row r="551" spans="1:10" x14ac:dyDescent="0.2">
      <c r="A551" s="82"/>
      <c r="B551" s="70"/>
      <c r="C551" s="70"/>
      <c r="D551" s="8"/>
      <c r="E551" s="8"/>
      <c r="I551" s="8"/>
      <c r="J551" s="8"/>
    </row>
    <row r="552" spans="1:10" x14ac:dyDescent="0.2">
      <c r="A552" s="82"/>
      <c r="B552" s="70"/>
      <c r="C552" s="70"/>
      <c r="D552" s="8"/>
      <c r="E552" s="8"/>
      <c r="I552" s="8"/>
      <c r="J552" s="8"/>
    </row>
    <row r="553" spans="1:10" x14ac:dyDescent="0.2">
      <c r="A553" s="82"/>
      <c r="B553" s="70"/>
      <c r="C553" s="70"/>
      <c r="D553" s="8"/>
      <c r="E553" s="8"/>
      <c r="I553" s="8"/>
      <c r="J553" s="8"/>
    </row>
    <row r="554" spans="1:10" x14ac:dyDescent="0.2">
      <c r="A554" s="82"/>
      <c r="B554" s="70"/>
      <c r="C554" s="70"/>
      <c r="D554" s="8"/>
      <c r="E554" s="8"/>
      <c r="I554" s="8"/>
      <c r="J554" s="8"/>
    </row>
    <row r="555" spans="1:10" x14ac:dyDescent="0.2">
      <c r="A555" s="82"/>
      <c r="B555" s="70"/>
      <c r="C555" s="70"/>
      <c r="D555" s="8"/>
      <c r="E555" s="8"/>
      <c r="I555" s="8"/>
      <c r="J555" s="8"/>
    </row>
    <row r="556" spans="1:10" x14ac:dyDescent="0.2">
      <c r="A556" s="82"/>
      <c r="B556" s="70"/>
      <c r="C556" s="70"/>
      <c r="D556" s="8"/>
      <c r="E556" s="8"/>
      <c r="I556" s="8"/>
      <c r="J556" s="8"/>
    </row>
    <row r="557" spans="1:10" x14ac:dyDescent="0.2">
      <c r="A557" s="82"/>
      <c r="B557" s="70"/>
      <c r="C557" s="70"/>
      <c r="D557" s="8"/>
      <c r="E557" s="8"/>
      <c r="I557" s="8"/>
      <c r="J557" s="8"/>
    </row>
    <row r="558" spans="1:10" x14ac:dyDescent="0.2">
      <c r="A558" s="82"/>
      <c r="B558" s="70"/>
      <c r="C558" s="70"/>
      <c r="D558" s="8"/>
      <c r="E558" s="8"/>
      <c r="I558" s="8"/>
      <c r="J558" s="8"/>
    </row>
    <row r="559" spans="1:10" x14ac:dyDescent="0.2">
      <c r="A559" s="82"/>
      <c r="B559" s="70"/>
      <c r="C559" s="70"/>
      <c r="D559" s="8"/>
      <c r="E559" s="8"/>
      <c r="I559" s="8"/>
      <c r="J559" s="8"/>
    </row>
    <row r="560" spans="1:10" x14ac:dyDescent="0.2">
      <c r="A560" s="82"/>
      <c r="B560" s="70"/>
      <c r="C560" s="70"/>
      <c r="D560" s="8"/>
      <c r="E560" s="8"/>
      <c r="I560" s="8"/>
      <c r="J560" s="8"/>
    </row>
    <row r="561" spans="1:10" x14ac:dyDescent="0.2">
      <c r="A561" s="82"/>
      <c r="B561" s="70"/>
      <c r="C561" s="70"/>
      <c r="D561" s="8"/>
      <c r="E561" s="8"/>
      <c r="I561" s="8"/>
      <c r="J561" s="8"/>
    </row>
    <row r="562" spans="1:10" x14ac:dyDescent="0.2">
      <c r="A562" s="82"/>
      <c r="B562" s="70"/>
      <c r="C562" s="70"/>
      <c r="D562" s="8"/>
      <c r="E562" s="8"/>
      <c r="I562" s="8"/>
      <c r="J562" s="8"/>
    </row>
    <row r="563" spans="1:10" x14ac:dyDescent="0.2">
      <c r="A563" s="82"/>
      <c r="B563" s="70"/>
      <c r="C563" s="70"/>
      <c r="D563" s="8"/>
      <c r="E563" s="8"/>
      <c r="I563" s="8"/>
      <c r="J563" s="8"/>
    </row>
    <row r="564" spans="1:10" x14ac:dyDescent="0.2">
      <c r="A564" s="82"/>
      <c r="B564" s="70"/>
      <c r="C564" s="70"/>
      <c r="D564" s="8"/>
      <c r="E564" s="8"/>
      <c r="I564" s="8"/>
      <c r="J564" s="8"/>
    </row>
    <row r="565" spans="1:10" x14ac:dyDescent="0.2">
      <c r="A565" s="82"/>
      <c r="B565" s="70"/>
      <c r="C565" s="70"/>
      <c r="D565" s="8"/>
      <c r="E565" s="8"/>
      <c r="I565" s="8"/>
      <c r="J565" s="8"/>
    </row>
    <row r="566" spans="1:10" x14ac:dyDescent="0.2">
      <c r="A566" s="82"/>
      <c r="B566" s="70"/>
      <c r="C566" s="70"/>
      <c r="D566" s="8"/>
      <c r="E566" s="8"/>
      <c r="I566" s="8"/>
      <c r="J566" s="8"/>
    </row>
    <row r="567" spans="1:10" x14ac:dyDescent="0.2">
      <c r="A567" s="82"/>
      <c r="B567" s="70"/>
      <c r="C567" s="70"/>
      <c r="D567" s="8"/>
      <c r="E567" s="8"/>
      <c r="I567" s="8"/>
      <c r="J567" s="8"/>
    </row>
    <row r="568" spans="1:10" x14ac:dyDescent="0.2">
      <c r="A568" s="82"/>
      <c r="B568" s="70"/>
      <c r="C568" s="70"/>
      <c r="D568" s="8"/>
      <c r="E568" s="8"/>
      <c r="I568" s="8"/>
      <c r="J568" s="8"/>
    </row>
    <row r="569" spans="1:10" x14ac:dyDescent="0.2">
      <c r="A569" s="82"/>
      <c r="B569" s="70"/>
      <c r="C569" s="70"/>
      <c r="D569" s="8"/>
      <c r="E569" s="8"/>
      <c r="I569" s="8"/>
      <c r="J569" s="8"/>
    </row>
    <row r="570" spans="1:10" x14ac:dyDescent="0.2">
      <c r="A570" s="82"/>
      <c r="B570" s="70"/>
      <c r="C570" s="70"/>
      <c r="D570" s="8"/>
      <c r="E570" s="8"/>
      <c r="I570" s="8"/>
      <c r="J570" s="8"/>
    </row>
    <row r="571" spans="1:10" x14ac:dyDescent="0.2">
      <c r="A571" s="82"/>
      <c r="B571" s="70"/>
      <c r="C571" s="70"/>
      <c r="D571" s="8"/>
      <c r="E571" s="8"/>
      <c r="I571" s="8"/>
      <c r="J571" s="8"/>
    </row>
    <row r="572" spans="1:10" x14ac:dyDescent="0.2">
      <c r="A572" s="82"/>
      <c r="B572" s="70"/>
      <c r="C572" s="70"/>
      <c r="D572" s="8"/>
      <c r="E572" s="8"/>
      <c r="I572" s="8"/>
      <c r="J572" s="8"/>
    </row>
    <row r="573" spans="1:10" x14ac:dyDescent="0.2">
      <c r="A573" s="82"/>
      <c r="B573" s="70"/>
      <c r="C573" s="70"/>
      <c r="D573" s="8"/>
      <c r="E573" s="8"/>
      <c r="I573" s="8"/>
      <c r="J573" s="8"/>
    </row>
    <row r="574" spans="1:10" x14ac:dyDescent="0.2">
      <c r="A574" s="82"/>
      <c r="B574" s="70"/>
      <c r="C574" s="70"/>
      <c r="D574" s="8"/>
      <c r="E574" s="8"/>
      <c r="I574" s="8"/>
      <c r="J574" s="8"/>
    </row>
    <row r="575" spans="1:10" x14ac:dyDescent="0.2">
      <c r="A575" s="82"/>
      <c r="B575" s="70"/>
      <c r="C575" s="70"/>
      <c r="D575" s="8"/>
      <c r="E575" s="8"/>
      <c r="I575" s="8"/>
      <c r="J575" s="8"/>
    </row>
    <row r="576" spans="1:10" x14ac:dyDescent="0.2">
      <c r="A576" s="82"/>
      <c r="B576" s="70"/>
      <c r="C576" s="70"/>
      <c r="D576" s="8"/>
      <c r="E576" s="8"/>
      <c r="I576" s="8"/>
      <c r="J576" s="8"/>
    </row>
    <row r="577" spans="1:10" x14ac:dyDescent="0.2">
      <c r="A577" s="82"/>
      <c r="B577" s="70"/>
      <c r="C577" s="70"/>
      <c r="D577" s="8"/>
      <c r="E577" s="8"/>
      <c r="I577" s="8"/>
      <c r="J577" s="8"/>
    </row>
    <row r="578" spans="1:10" x14ac:dyDescent="0.2">
      <c r="A578" s="82"/>
      <c r="B578" s="70"/>
      <c r="C578" s="70"/>
      <c r="D578" s="8"/>
      <c r="E578" s="8"/>
      <c r="I578" s="8"/>
      <c r="J578" s="8"/>
    </row>
    <row r="579" spans="1:10" x14ac:dyDescent="0.2">
      <c r="A579" s="82"/>
      <c r="B579" s="70"/>
      <c r="C579" s="70"/>
      <c r="D579" s="8"/>
      <c r="E579" s="8"/>
      <c r="I579" s="8"/>
      <c r="J579" s="8"/>
    </row>
    <row r="580" spans="1:10" x14ac:dyDescent="0.2">
      <c r="A580" s="82"/>
      <c r="B580" s="70"/>
      <c r="C580" s="70"/>
      <c r="D580" s="8"/>
      <c r="E580" s="8"/>
      <c r="I580" s="8"/>
      <c r="J580" s="8"/>
    </row>
    <row r="581" spans="1:10" x14ac:dyDescent="0.2">
      <c r="A581" s="82"/>
      <c r="B581" s="70"/>
      <c r="C581" s="70"/>
      <c r="D581" s="8"/>
      <c r="E581" s="8"/>
      <c r="I581" s="8"/>
      <c r="J581" s="8"/>
    </row>
    <row r="582" spans="1:10" x14ac:dyDescent="0.2">
      <c r="A582" s="82"/>
      <c r="B582" s="70"/>
      <c r="C582" s="70"/>
      <c r="D582" s="8"/>
      <c r="E582" s="8"/>
      <c r="I582" s="8"/>
      <c r="J582" s="8"/>
    </row>
    <row r="583" spans="1:10" x14ac:dyDescent="0.2">
      <c r="A583" s="82"/>
      <c r="B583" s="70"/>
      <c r="C583" s="70"/>
      <c r="D583" s="8"/>
      <c r="E583" s="8"/>
      <c r="I583" s="8"/>
      <c r="J583" s="8"/>
    </row>
    <row r="584" spans="1:10" x14ac:dyDescent="0.2">
      <c r="A584" s="82"/>
      <c r="B584" s="70"/>
      <c r="C584" s="70"/>
      <c r="D584" s="8"/>
      <c r="E584" s="8"/>
      <c r="I584" s="8"/>
      <c r="J584" s="8"/>
    </row>
    <row r="585" spans="1:10" x14ac:dyDescent="0.2">
      <c r="A585" s="82"/>
      <c r="B585" s="70"/>
      <c r="C585" s="70"/>
      <c r="D585" s="8"/>
      <c r="E585" s="8"/>
      <c r="I585" s="8"/>
      <c r="J585" s="8"/>
    </row>
    <row r="586" spans="1:10" x14ac:dyDescent="0.2">
      <c r="A586" s="82"/>
      <c r="B586" s="70"/>
      <c r="C586" s="70"/>
      <c r="D586" s="8"/>
      <c r="E586" s="8"/>
      <c r="I586" s="8"/>
      <c r="J586" s="8"/>
    </row>
    <row r="587" spans="1:10" x14ac:dyDescent="0.2">
      <c r="A587" s="82"/>
      <c r="B587" s="70"/>
      <c r="C587" s="70"/>
      <c r="D587" s="8"/>
      <c r="E587" s="8"/>
      <c r="I587" s="8"/>
      <c r="J587" s="8"/>
    </row>
    <row r="588" spans="1:10" x14ac:dyDescent="0.2">
      <c r="A588" s="82"/>
      <c r="B588" s="70"/>
      <c r="C588" s="70"/>
      <c r="D588" s="8"/>
      <c r="E588" s="8"/>
      <c r="I588" s="8"/>
      <c r="J588" s="8"/>
    </row>
    <row r="589" spans="1:10" x14ac:dyDescent="0.2">
      <c r="A589" s="82"/>
      <c r="B589" s="70"/>
      <c r="C589" s="70"/>
      <c r="D589" s="8"/>
      <c r="E589" s="8"/>
      <c r="I589" s="8"/>
      <c r="J589" s="8"/>
    </row>
    <row r="590" spans="1:10" x14ac:dyDescent="0.2">
      <c r="A590" s="82"/>
      <c r="B590" s="70"/>
      <c r="C590" s="70"/>
      <c r="D590" s="8"/>
      <c r="E590" s="8"/>
      <c r="I590" s="8"/>
      <c r="J590" s="8"/>
    </row>
    <row r="591" spans="1:10" x14ac:dyDescent="0.2">
      <c r="A591" s="82"/>
      <c r="B591" s="70"/>
      <c r="C591" s="70"/>
      <c r="D591" s="8"/>
      <c r="E591" s="8"/>
      <c r="I591" s="8"/>
      <c r="J591" s="8"/>
    </row>
    <row r="592" spans="1:10" x14ac:dyDescent="0.2">
      <c r="A592" s="82"/>
      <c r="B592" s="70"/>
      <c r="C592" s="70"/>
      <c r="D592" s="8"/>
      <c r="E592" s="8"/>
      <c r="I592" s="8"/>
      <c r="J592" s="8"/>
    </row>
    <row r="593" spans="1:10" x14ac:dyDescent="0.2">
      <c r="A593" s="82"/>
      <c r="B593" s="70"/>
      <c r="C593" s="70"/>
      <c r="D593" s="8"/>
      <c r="E593" s="8"/>
      <c r="I593" s="8"/>
      <c r="J593" s="8"/>
    </row>
    <row r="594" spans="1:10" x14ac:dyDescent="0.2">
      <c r="A594" s="82"/>
      <c r="B594" s="70"/>
      <c r="C594" s="70"/>
      <c r="D594" s="8"/>
      <c r="E594" s="8"/>
      <c r="I594" s="8"/>
      <c r="J594" s="8"/>
    </row>
    <row r="595" spans="1:10" x14ac:dyDescent="0.2">
      <c r="A595" s="82"/>
      <c r="B595" s="70"/>
      <c r="C595" s="70"/>
      <c r="D595" s="8"/>
      <c r="E595" s="8"/>
      <c r="I595" s="8"/>
      <c r="J595" s="8"/>
    </row>
    <row r="596" spans="1:10" x14ac:dyDescent="0.2">
      <c r="A596" s="82"/>
      <c r="B596" s="70"/>
      <c r="C596" s="70"/>
      <c r="D596" s="8"/>
      <c r="E596" s="8"/>
      <c r="I596" s="8"/>
      <c r="J596" s="8"/>
    </row>
    <row r="597" spans="1:10" x14ac:dyDescent="0.2">
      <c r="A597" s="82"/>
      <c r="B597" s="70"/>
      <c r="C597" s="70"/>
      <c r="D597" s="8"/>
      <c r="E597" s="8"/>
      <c r="I597" s="8"/>
      <c r="J597" s="8"/>
    </row>
    <row r="598" spans="1:10" x14ac:dyDescent="0.2">
      <c r="A598" s="82"/>
      <c r="B598" s="70"/>
      <c r="C598" s="70"/>
      <c r="D598" s="8"/>
      <c r="E598" s="8"/>
      <c r="I598" s="8"/>
      <c r="J598" s="8"/>
    </row>
    <row r="599" spans="1:10" x14ac:dyDescent="0.2">
      <c r="A599" s="82"/>
      <c r="B599" s="70"/>
      <c r="C599" s="70"/>
      <c r="D599" s="8"/>
      <c r="E599" s="8"/>
      <c r="I599" s="8"/>
      <c r="J599" s="8"/>
    </row>
    <row r="600" spans="1:10" x14ac:dyDescent="0.2">
      <c r="A600" s="82"/>
      <c r="B600" s="70"/>
      <c r="C600" s="70"/>
      <c r="D600" s="8"/>
      <c r="E600" s="8"/>
      <c r="I600" s="8"/>
      <c r="J600" s="8"/>
    </row>
    <row r="601" spans="1:10" x14ac:dyDescent="0.2">
      <c r="A601" s="82"/>
      <c r="B601" s="70"/>
      <c r="C601" s="70"/>
      <c r="D601" s="8"/>
      <c r="E601" s="8"/>
      <c r="I601" s="8"/>
      <c r="J601" s="8"/>
    </row>
    <row r="602" spans="1:10" x14ac:dyDescent="0.2">
      <c r="A602" s="82"/>
      <c r="B602" s="70"/>
      <c r="C602" s="70"/>
      <c r="D602" s="8"/>
      <c r="E602" s="8"/>
      <c r="I602" s="8"/>
      <c r="J602" s="8"/>
    </row>
    <row r="603" spans="1:10" x14ac:dyDescent="0.2">
      <c r="A603" s="82"/>
      <c r="B603" s="70"/>
      <c r="C603" s="70"/>
      <c r="D603" s="8"/>
      <c r="E603" s="8"/>
      <c r="I603" s="8"/>
      <c r="J603" s="8"/>
    </row>
    <row r="604" spans="1:10" x14ac:dyDescent="0.2">
      <c r="A604" s="82"/>
      <c r="B604" s="70"/>
      <c r="C604" s="70"/>
      <c r="D604" s="8"/>
      <c r="E604" s="8"/>
      <c r="I604" s="8"/>
      <c r="J604" s="8"/>
    </row>
    <row r="605" spans="1:10" x14ac:dyDescent="0.2">
      <c r="A605" s="82"/>
      <c r="B605" s="70"/>
      <c r="C605" s="70"/>
      <c r="D605" s="8"/>
      <c r="E605" s="8"/>
      <c r="I605" s="8"/>
      <c r="J605" s="8"/>
    </row>
    <row r="606" spans="1:10" x14ac:dyDescent="0.2">
      <c r="A606" s="82"/>
      <c r="B606" s="70"/>
      <c r="C606" s="70"/>
      <c r="D606" s="8"/>
      <c r="E606" s="8"/>
      <c r="I606" s="8"/>
      <c r="J606" s="8"/>
    </row>
    <row r="607" spans="1:10" x14ac:dyDescent="0.2">
      <c r="A607" s="82"/>
      <c r="B607" s="70"/>
      <c r="C607" s="70"/>
      <c r="D607" s="8"/>
      <c r="E607" s="8"/>
      <c r="I607" s="8"/>
      <c r="J607" s="8"/>
    </row>
    <row r="608" spans="1:10" x14ac:dyDescent="0.2">
      <c r="A608" s="82"/>
      <c r="B608" s="70"/>
      <c r="C608" s="70"/>
      <c r="D608" s="8"/>
      <c r="E608" s="8"/>
      <c r="I608" s="8"/>
      <c r="J608" s="8"/>
    </row>
    <row r="609" spans="1:10" x14ac:dyDescent="0.2">
      <c r="A609" s="82"/>
      <c r="B609" s="70"/>
      <c r="C609" s="70"/>
      <c r="D609" s="8"/>
      <c r="E609" s="8"/>
      <c r="I609" s="8"/>
      <c r="J609" s="8"/>
    </row>
    <row r="610" spans="1:10" x14ac:dyDescent="0.2">
      <c r="A610" s="82"/>
      <c r="B610" s="70"/>
      <c r="C610" s="70"/>
      <c r="D610" s="8"/>
      <c r="E610" s="8"/>
      <c r="I610" s="8"/>
      <c r="J610" s="8"/>
    </row>
    <row r="611" spans="1:10" x14ac:dyDescent="0.2">
      <c r="A611" s="82"/>
      <c r="B611" s="70"/>
      <c r="C611" s="70"/>
      <c r="D611" s="8"/>
      <c r="E611" s="8"/>
      <c r="I611" s="8"/>
      <c r="J611" s="8"/>
    </row>
    <row r="612" spans="1:10" x14ac:dyDescent="0.2">
      <c r="A612" s="82"/>
      <c r="B612" s="70"/>
      <c r="C612" s="70"/>
      <c r="D612" s="8"/>
      <c r="E612" s="8"/>
      <c r="I612" s="8"/>
      <c r="J612" s="8"/>
    </row>
    <row r="613" spans="1:10" x14ac:dyDescent="0.2">
      <c r="A613" s="82"/>
      <c r="B613" s="70"/>
      <c r="C613" s="70"/>
      <c r="D613" s="8"/>
      <c r="E613" s="8"/>
      <c r="I613" s="8"/>
      <c r="J613" s="8"/>
    </row>
    <row r="614" spans="1:10" x14ac:dyDescent="0.2">
      <c r="A614" s="82"/>
      <c r="B614" s="70"/>
      <c r="C614" s="70"/>
      <c r="D614" s="8"/>
      <c r="E614" s="8"/>
      <c r="I614" s="8"/>
      <c r="J614" s="8"/>
    </row>
    <row r="615" spans="1:10" x14ac:dyDescent="0.2">
      <c r="A615" s="82"/>
      <c r="B615" s="70"/>
      <c r="C615" s="70"/>
      <c r="D615" s="8"/>
      <c r="E615" s="8"/>
      <c r="I615" s="8"/>
      <c r="J615" s="8"/>
    </row>
    <row r="616" spans="1:10" x14ac:dyDescent="0.2">
      <c r="A616" s="82"/>
      <c r="B616" s="70"/>
      <c r="C616" s="70"/>
      <c r="D616" s="8"/>
      <c r="E616" s="8"/>
      <c r="I616" s="8"/>
      <c r="J616" s="8"/>
    </row>
    <row r="617" spans="1:10" x14ac:dyDescent="0.2">
      <c r="A617" s="82"/>
      <c r="B617" s="70"/>
      <c r="C617" s="70"/>
      <c r="D617" s="8"/>
      <c r="E617" s="8"/>
      <c r="I617" s="8"/>
      <c r="J617" s="8"/>
    </row>
    <row r="618" spans="1:10" x14ac:dyDescent="0.2">
      <c r="A618" s="82"/>
      <c r="B618" s="70"/>
      <c r="C618" s="70"/>
      <c r="D618" s="8"/>
      <c r="E618" s="8"/>
      <c r="I618" s="8"/>
      <c r="J618" s="8"/>
    </row>
    <row r="619" spans="1:10" x14ac:dyDescent="0.2">
      <c r="A619" s="82"/>
      <c r="B619" s="70"/>
      <c r="C619" s="70"/>
      <c r="D619" s="8"/>
      <c r="E619" s="8"/>
      <c r="I619" s="8"/>
      <c r="J619" s="8"/>
    </row>
    <row r="620" spans="1:10" x14ac:dyDescent="0.2">
      <c r="A620" s="82"/>
      <c r="B620" s="70"/>
      <c r="C620" s="70"/>
      <c r="D620" s="8"/>
      <c r="E620" s="8"/>
      <c r="I620" s="8"/>
      <c r="J620" s="8"/>
    </row>
    <row r="621" spans="1:10" x14ac:dyDescent="0.2">
      <c r="A621" s="82"/>
      <c r="B621" s="70"/>
      <c r="C621" s="70"/>
      <c r="D621" s="8"/>
      <c r="E621" s="8"/>
      <c r="I621" s="8"/>
      <c r="J621" s="8"/>
    </row>
    <row r="622" spans="1:10" x14ac:dyDescent="0.2">
      <c r="A622" s="82"/>
      <c r="B622" s="70"/>
      <c r="C622" s="70"/>
      <c r="D622" s="8"/>
      <c r="E622" s="8"/>
      <c r="I622" s="8"/>
      <c r="J622" s="8"/>
    </row>
    <row r="623" spans="1:10" x14ac:dyDescent="0.2">
      <c r="A623" s="82"/>
      <c r="B623" s="70"/>
      <c r="C623" s="70"/>
      <c r="D623" s="8"/>
      <c r="E623" s="8"/>
      <c r="I623" s="8"/>
      <c r="J623" s="8"/>
    </row>
    <row r="624" spans="1:10" x14ac:dyDescent="0.2">
      <c r="A624" s="82"/>
      <c r="B624" s="70"/>
      <c r="C624" s="70"/>
      <c r="D624" s="8"/>
      <c r="E624" s="8"/>
      <c r="I624" s="8"/>
      <c r="J624" s="8"/>
    </row>
    <row r="625" spans="1:10" x14ac:dyDescent="0.2">
      <c r="A625" s="82"/>
      <c r="B625" s="70"/>
      <c r="C625" s="70"/>
      <c r="D625" s="8"/>
      <c r="E625" s="8"/>
      <c r="I625" s="8"/>
      <c r="J625" s="8"/>
    </row>
    <row r="626" spans="1:10" x14ac:dyDescent="0.2">
      <c r="A626" s="82"/>
      <c r="B626" s="70"/>
      <c r="C626" s="70"/>
      <c r="D626" s="8"/>
      <c r="E626" s="8"/>
      <c r="I626" s="8"/>
      <c r="J626" s="8"/>
    </row>
    <row r="627" spans="1:10" x14ac:dyDescent="0.2">
      <c r="A627" s="82"/>
      <c r="B627" s="70"/>
      <c r="C627" s="70"/>
      <c r="D627" s="8"/>
      <c r="E627" s="8"/>
      <c r="I627" s="8"/>
      <c r="J627" s="8"/>
    </row>
    <row r="628" spans="1:10" x14ac:dyDescent="0.2">
      <c r="A628" s="82"/>
      <c r="B628" s="70"/>
      <c r="C628" s="70"/>
      <c r="D628" s="8"/>
      <c r="E628" s="8"/>
      <c r="I628" s="8"/>
      <c r="J628" s="8"/>
    </row>
    <row r="629" spans="1:10" x14ac:dyDescent="0.2">
      <c r="A629" s="82"/>
      <c r="B629" s="70"/>
      <c r="C629" s="70"/>
      <c r="D629" s="8"/>
      <c r="E629" s="8"/>
      <c r="I629" s="8"/>
      <c r="J629" s="8"/>
    </row>
    <row r="630" spans="1:10" x14ac:dyDescent="0.2">
      <c r="A630" s="82"/>
      <c r="B630" s="70"/>
      <c r="C630" s="70"/>
      <c r="D630" s="8"/>
      <c r="E630" s="8"/>
      <c r="I630" s="8"/>
      <c r="J630" s="8"/>
    </row>
    <row r="631" spans="1:10" x14ac:dyDescent="0.2">
      <c r="A631" s="82"/>
      <c r="B631" s="70"/>
      <c r="C631" s="70"/>
      <c r="D631" s="8"/>
      <c r="E631" s="8"/>
      <c r="I631" s="8"/>
      <c r="J631" s="8"/>
    </row>
    <row r="632" spans="1:10" x14ac:dyDescent="0.2">
      <c r="A632" s="82"/>
      <c r="B632" s="70"/>
      <c r="C632" s="70"/>
      <c r="D632" s="8"/>
      <c r="E632" s="8"/>
      <c r="I632" s="8"/>
      <c r="J632" s="8"/>
    </row>
    <row r="633" spans="1:10" x14ac:dyDescent="0.2">
      <c r="A633" s="82"/>
      <c r="B633" s="70"/>
      <c r="C633" s="70"/>
      <c r="D633" s="8"/>
      <c r="E633" s="8"/>
      <c r="I633" s="8"/>
      <c r="J633" s="8"/>
    </row>
    <row r="634" spans="1:10" x14ac:dyDescent="0.2">
      <c r="A634" s="82"/>
      <c r="B634" s="70"/>
      <c r="C634" s="70"/>
      <c r="D634" s="8"/>
      <c r="E634" s="8"/>
      <c r="I634" s="8"/>
      <c r="J634" s="8"/>
    </row>
    <row r="635" spans="1:10" x14ac:dyDescent="0.2">
      <c r="A635" s="82"/>
      <c r="B635" s="70"/>
      <c r="C635" s="70"/>
      <c r="D635" s="8"/>
      <c r="E635" s="8"/>
      <c r="I635" s="8"/>
      <c r="J635" s="8"/>
    </row>
    <row r="636" spans="1:10" x14ac:dyDescent="0.2">
      <c r="A636" s="82"/>
      <c r="B636" s="70"/>
      <c r="C636" s="70"/>
      <c r="D636" s="8"/>
      <c r="E636" s="8"/>
      <c r="I636" s="8"/>
      <c r="J636" s="8"/>
    </row>
    <row r="637" spans="1:10" x14ac:dyDescent="0.2">
      <c r="A637" s="82"/>
      <c r="B637" s="70"/>
      <c r="C637" s="70"/>
      <c r="D637" s="8"/>
      <c r="E637" s="8"/>
      <c r="I637" s="8"/>
      <c r="J637" s="8"/>
    </row>
    <row r="638" spans="1:10" x14ac:dyDescent="0.2">
      <c r="A638" s="82"/>
      <c r="B638" s="70"/>
      <c r="C638" s="70"/>
      <c r="D638" s="8"/>
      <c r="E638" s="8"/>
      <c r="I638" s="8"/>
      <c r="J638" s="8"/>
    </row>
    <row r="639" spans="1:10" x14ac:dyDescent="0.2">
      <c r="A639" s="82"/>
      <c r="B639" s="70"/>
      <c r="C639" s="70"/>
      <c r="D639" s="8"/>
      <c r="E639" s="8"/>
      <c r="I639" s="8"/>
      <c r="J639" s="8"/>
    </row>
    <row r="640" spans="1:10" x14ac:dyDescent="0.2">
      <c r="A640" s="82"/>
      <c r="B640" s="70"/>
      <c r="C640" s="70"/>
      <c r="D640" s="8"/>
      <c r="E640" s="8"/>
      <c r="I640" s="8"/>
      <c r="J640" s="8"/>
    </row>
    <row r="641" spans="1:10" x14ac:dyDescent="0.2">
      <c r="A641" s="82"/>
      <c r="B641" s="70"/>
      <c r="C641" s="70"/>
      <c r="D641" s="8"/>
      <c r="E641" s="8"/>
      <c r="I641" s="8"/>
      <c r="J641" s="8"/>
    </row>
    <row r="642" spans="1:10" x14ac:dyDescent="0.2">
      <c r="A642" s="82"/>
      <c r="B642" s="70"/>
      <c r="C642" s="70"/>
      <c r="D642" s="8"/>
      <c r="E642" s="8"/>
      <c r="I642" s="8"/>
      <c r="J642" s="8"/>
    </row>
    <row r="643" spans="1:10" x14ac:dyDescent="0.2">
      <c r="A643" s="82"/>
      <c r="B643" s="70"/>
      <c r="C643" s="70"/>
      <c r="D643" s="8"/>
      <c r="E643" s="8"/>
      <c r="I643" s="8"/>
      <c r="J643" s="8"/>
    </row>
    <row r="644" spans="1:10" x14ac:dyDescent="0.2">
      <c r="A644" s="82"/>
      <c r="B644" s="70"/>
      <c r="C644" s="70"/>
      <c r="D644" s="8"/>
      <c r="E644" s="8"/>
      <c r="I644" s="8"/>
      <c r="J644" s="8"/>
    </row>
    <row r="645" spans="1:10" x14ac:dyDescent="0.2">
      <c r="A645" s="82"/>
      <c r="B645" s="70"/>
      <c r="C645" s="70"/>
      <c r="D645" s="8"/>
      <c r="E645" s="8"/>
      <c r="I645" s="8"/>
      <c r="J645" s="8"/>
    </row>
    <row r="646" spans="1:10" x14ac:dyDescent="0.2">
      <c r="A646" s="82"/>
      <c r="B646" s="70"/>
      <c r="C646" s="70"/>
      <c r="D646" s="8"/>
      <c r="E646" s="8"/>
      <c r="I646" s="8"/>
      <c r="J646" s="8"/>
    </row>
    <row r="647" spans="1:10" x14ac:dyDescent="0.2">
      <c r="A647" s="82"/>
      <c r="B647" s="70"/>
      <c r="C647" s="70"/>
      <c r="D647" s="8"/>
      <c r="E647" s="8"/>
      <c r="I647" s="8"/>
      <c r="J647" s="8"/>
    </row>
    <row r="648" spans="1:10" x14ac:dyDescent="0.2">
      <c r="A648" s="82"/>
      <c r="B648" s="70"/>
      <c r="C648" s="70"/>
      <c r="D648" s="8"/>
      <c r="E648" s="8"/>
      <c r="I648" s="8"/>
      <c r="J648" s="8"/>
    </row>
    <row r="649" spans="1:10" x14ac:dyDescent="0.2">
      <c r="A649" s="82"/>
      <c r="B649" s="70"/>
      <c r="C649" s="70"/>
      <c r="D649" s="8"/>
      <c r="E649" s="8"/>
      <c r="I649" s="8"/>
      <c r="J649" s="8"/>
    </row>
    <row r="650" spans="1:10" x14ac:dyDescent="0.2">
      <c r="A650" s="82"/>
      <c r="B650" s="70"/>
      <c r="C650" s="70"/>
      <c r="D650" s="8"/>
      <c r="E650" s="8"/>
      <c r="I650" s="8"/>
      <c r="J650" s="8"/>
    </row>
    <row r="651" spans="1:10" x14ac:dyDescent="0.2">
      <c r="A651" s="82"/>
      <c r="B651" s="70"/>
      <c r="C651" s="70"/>
      <c r="D651" s="8"/>
      <c r="E651" s="8"/>
      <c r="I651" s="8"/>
      <c r="J651" s="8"/>
    </row>
    <row r="652" spans="1:10" x14ac:dyDescent="0.2">
      <c r="A652" s="82"/>
      <c r="B652" s="70"/>
      <c r="C652" s="70"/>
      <c r="D652" s="8"/>
      <c r="E652" s="8"/>
      <c r="I652" s="8"/>
      <c r="J652" s="8"/>
    </row>
    <row r="653" spans="1:10" x14ac:dyDescent="0.2">
      <c r="A653" s="82"/>
      <c r="B653" s="70"/>
      <c r="C653" s="70"/>
      <c r="D653" s="8"/>
      <c r="E653" s="8"/>
      <c r="I653" s="8"/>
      <c r="J653" s="8"/>
    </row>
    <row r="654" spans="1:10" x14ac:dyDescent="0.2">
      <c r="A654" s="82"/>
      <c r="B654" s="70"/>
      <c r="C654" s="70"/>
      <c r="D654" s="8"/>
      <c r="E654" s="8"/>
      <c r="I654" s="8"/>
      <c r="J654" s="8"/>
    </row>
    <row r="655" spans="1:10" x14ac:dyDescent="0.2">
      <c r="A655" s="82"/>
      <c r="B655" s="70"/>
      <c r="C655" s="70"/>
      <c r="D655" s="8"/>
      <c r="E655" s="8"/>
      <c r="I655" s="8"/>
      <c r="J655" s="8"/>
    </row>
    <row r="656" spans="1:10" x14ac:dyDescent="0.2">
      <c r="A656" s="82"/>
      <c r="B656" s="70"/>
      <c r="C656" s="70"/>
      <c r="D656" s="8"/>
      <c r="E656" s="8"/>
      <c r="I656" s="8"/>
      <c r="J656" s="8"/>
    </row>
    <row r="657" spans="1:10" x14ac:dyDescent="0.2">
      <c r="A657" s="82"/>
      <c r="B657" s="70"/>
      <c r="C657" s="70"/>
      <c r="D657" s="8"/>
      <c r="E657" s="8"/>
      <c r="I657" s="8"/>
      <c r="J657" s="8"/>
    </row>
    <row r="658" spans="1:10" x14ac:dyDescent="0.2">
      <c r="A658" s="82"/>
      <c r="B658" s="70"/>
      <c r="C658" s="70"/>
      <c r="D658" s="8"/>
      <c r="E658" s="8"/>
      <c r="I658" s="8"/>
      <c r="J658" s="8"/>
    </row>
    <row r="659" spans="1:10" x14ac:dyDescent="0.2">
      <c r="A659" s="82"/>
      <c r="B659" s="70"/>
      <c r="C659" s="70"/>
      <c r="D659" s="8"/>
      <c r="E659" s="8"/>
      <c r="I659" s="8"/>
      <c r="J659" s="8"/>
    </row>
    <row r="660" spans="1:10" x14ac:dyDescent="0.2">
      <c r="A660" s="82"/>
      <c r="B660" s="70"/>
      <c r="C660" s="70"/>
      <c r="D660" s="8"/>
      <c r="E660" s="8"/>
      <c r="I660" s="8"/>
      <c r="J660" s="8"/>
    </row>
    <row r="661" spans="1:10" x14ac:dyDescent="0.2">
      <c r="A661" s="82"/>
      <c r="B661" s="70"/>
      <c r="C661" s="70"/>
      <c r="D661" s="8"/>
      <c r="E661" s="8"/>
      <c r="I661" s="8"/>
      <c r="J661" s="8"/>
    </row>
    <row r="662" spans="1:10" x14ac:dyDescent="0.2">
      <c r="A662" s="82"/>
      <c r="B662" s="70"/>
      <c r="C662" s="70"/>
      <c r="D662" s="8"/>
      <c r="E662" s="8"/>
      <c r="I662" s="8"/>
      <c r="J662" s="8"/>
    </row>
    <row r="663" spans="1:10" x14ac:dyDescent="0.2">
      <c r="A663" s="82"/>
      <c r="B663" s="70"/>
      <c r="C663" s="70"/>
      <c r="D663" s="8"/>
      <c r="E663" s="8"/>
      <c r="I663" s="8"/>
      <c r="J663" s="8"/>
    </row>
    <row r="664" spans="1:10" x14ac:dyDescent="0.2">
      <c r="A664" s="82"/>
      <c r="B664" s="70"/>
      <c r="C664" s="70"/>
      <c r="D664" s="8"/>
      <c r="E664" s="8"/>
      <c r="I664" s="8"/>
      <c r="J664" s="8"/>
    </row>
    <row r="665" spans="1:10" x14ac:dyDescent="0.2">
      <c r="A665" s="82"/>
      <c r="B665" s="70"/>
      <c r="C665" s="70"/>
      <c r="D665" s="8"/>
      <c r="E665" s="8"/>
      <c r="I665" s="8"/>
      <c r="J665" s="8"/>
    </row>
    <row r="666" spans="1:10" x14ac:dyDescent="0.2">
      <c r="A666" s="82"/>
      <c r="B666" s="70"/>
      <c r="C666" s="70"/>
      <c r="D666" s="8"/>
      <c r="E666" s="8"/>
      <c r="I666" s="8"/>
      <c r="J666" s="8"/>
    </row>
    <row r="667" spans="1:10" x14ac:dyDescent="0.2">
      <c r="A667" s="82"/>
      <c r="B667" s="70"/>
      <c r="C667" s="70"/>
      <c r="D667" s="8"/>
      <c r="E667" s="8"/>
      <c r="I667" s="8"/>
      <c r="J667" s="8"/>
    </row>
    <row r="668" spans="1:10" x14ac:dyDescent="0.2">
      <c r="A668" s="82"/>
      <c r="B668" s="70"/>
      <c r="C668" s="70"/>
      <c r="D668" s="8"/>
      <c r="E668" s="8"/>
      <c r="I668" s="8"/>
      <c r="J668" s="8"/>
    </row>
    <row r="669" spans="1:10" x14ac:dyDescent="0.2">
      <c r="A669" s="82"/>
      <c r="B669" s="70"/>
      <c r="C669" s="70"/>
      <c r="D669" s="8"/>
      <c r="E669" s="8"/>
      <c r="I669" s="8"/>
      <c r="J669" s="8"/>
    </row>
    <row r="670" spans="1:10" x14ac:dyDescent="0.2">
      <c r="A670" s="82"/>
      <c r="B670" s="70"/>
      <c r="C670" s="70"/>
      <c r="D670" s="8"/>
      <c r="E670" s="8"/>
      <c r="I670" s="8"/>
      <c r="J670" s="8"/>
    </row>
    <row r="671" spans="1:10" x14ac:dyDescent="0.2">
      <c r="A671" s="82"/>
      <c r="B671" s="70"/>
      <c r="C671" s="70"/>
      <c r="D671" s="8"/>
      <c r="E671" s="8"/>
      <c r="I671" s="8"/>
      <c r="J671" s="8"/>
    </row>
    <row r="672" spans="1:10" x14ac:dyDescent="0.2">
      <c r="A672" s="82"/>
      <c r="B672" s="70"/>
      <c r="C672" s="70"/>
      <c r="D672" s="8"/>
      <c r="E672" s="8"/>
      <c r="I672" s="8"/>
      <c r="J672" s="8"/>
    </row>
    <row r="673" spans="1:10" x14ac:dyDescent="0.2">
      <c r="A673" s="82"/>
      <c r="B673" s="70"/>
      <c r="C673" s="70"/>
      <c r="D673" s="8"/>
      <c r="E673" s="8"/>
      <c r="I673" s="8"/>
      <c r="J673" s="8"/>
    </row>
    <row r="674" spans="1:10" x14ac:dyDescent="0.2">
      <c r="A674" s="82"/>
      <c r="B674" s="70"/>
      <c r="C674" s="70"/>
      <c r="D674" s="8"/>
      <c r="E674" s="8"/>
      <c r="I674" s="8"/>
      <c r="J674" s="8"/>
    </row>
    <row r="675" spans="1:10" x14ac:dyDescent="0.2">
      <c r="A675" s="82"/>
      <c r="B675" s="70"/>
      <c r="C675" s="70"/>
      <c r="D675" s="8"/>
      <c r="E675" s="8"/>
      <c r="I675" s="8"/>
      <c r="J675" s="8"/>
    </row>
    <row r="676" spans="1:10" x14ac:dyDescent="0.2">
      <c r="A676" s="82"/>
      <c r="B676" s="70"/>
      <c r="C676" s="70"/>
      <c r="D676" s="8"/>
      <c r="E676" s="8"/>
      <c r="I676" s="8"/>
      <c r="J676" s="8"/>
    </row>
    <row r="677" spans="1:10" x14ac:dyDescent="0.2">
      <c r="A677" s="82"/>
      <c r="B677" s="70"/>
      <c r="C677" s="70"/>
      <c r="D677" s="8"/>
      <c r="E677" s="8"/>
      <c r="I677" s="8"/>
      <c r="J677" s="8"/>
    </row>
    <row r="678" spans="1:10" x14ac:dyDescent="0.2">
      <c r="A678" s="82"/>
      <c r="B678" s="70"/>
      <c r="C678" s="70"/>
      <c r="D678" s="8"/>
      <c r="E678" s="8"/>
      <c r="I678" s="8"/>
      <c r="J678" s="8"/>
    </row>
    <row r="679" spans="1:10" x14ac:dyDescent="0.2">
      <c r="A679" s="82"/>
      <c r="B679" s="70"/>
      <c r="C679" s="70"/>
      <c r="D679" s="8"/>
      <c r="E679" s="8"/>
      <c r="I679" s="8"/>
      <c r="J679" s="8"/>
    </row>
    <row r="680" spans="1:10" x14ac:dyDescent="0.2">
      <c r="A680" s="82"/>
      <c r="B680" s="70"/>
      <c r="C680" s="70"/>
      <c r="D680" s="8"/>
      <c r="E680" s="8"/>
      <c r="I680" s="8"/>
      <c r="J680" s="8"/>
    </row>
    <row r="681" spans="1:10" x14ac:dyDescent="0.2">
      <c r="A681" s="82"/>
      <c r="B681" s="70"/>
      <c r="C681" s="70"/>
      <c r="D681" s="8"/>
      <c r="E681" s="8"/>
      <c r="I681" s="8"/>
      <c r="J681" s="8"/>
    </row>
    <row r="682" spans="1:10" x14ac:dyDescent="0.2">
      <c r="A682" s="82"/>
      <c r="B682" s="70"/>
      <c r="C682" s="70"/>
      <c r="D682" s="8"/>
      <c r="E682" s="8"/>
      <c r="I682" s="8"/>
      <c r="J682" s="8"/>
    </row>
    <row r="683" spans="1:10" x14ac:dyDescent="0.2">
      <c r="A683" s="82"/>
      <c r="B683" s="70"/>
      <c r="C683" s="70"/>
      <c r="D683" s="8"/>
      <c r="E683" s="8"/>
      <c r="I683" s="8"/>
      <c r="J683" s="8"/>
    </row>
    <row r="684" spans="1:10" x14ac:dyDescent="0.2">
      <c r="A684" s="82"/>
      <c r="B684" s="70"/>
      <c r="C684" s="70"/>
      <c r="D684" s="8"/>
      <c r="E684" s="8"/>
      <c r="I684" s="8"/>
      <c r="J684" s="8"/>
    </row>
    <row r="685" spans="1:10" x14ac:dyDescent="0.2">
      <c r="A685" s="82"/>
      <c r="B685" s="70"/>
      <c r="C685" s="70"/>
      <c r="D685" s="8"/>
      <c r="E685" s="8"/>
      <c r="I685" s="8"/>
      <c r="J685" s="8"/>
    </row>
    <row r="686" spans="1:10" x14ac:dyDescent="0.2">
      <c r="A686" s="82"/>
      <c r="B686" s="70"/>
      <c r="C686" s="70"/>
      <c r="D686" s="8"/>
      <c r="E686" s="8"/>
      <c r="I686" s="8"/>
      <c r="J686" s="8"/>
    </row>
    <row r="687" spans="1:10" x14ac:dyDescent="0.2">
      <c r="A687" s="82"/>
      <c r="B687" s="70"/>
      <c r="C687" s="70"/>
      <c r="D687" s="8"/>
      <c r="E687" s="8"/>
      <c r="I687" s="8"/>
      <c r="J687" s="8"/>
    </row>
    <row r="688" spans="1:10" x14ac:dyDescent="0.2">
      <c r="A688" s="82"/>
      <c r="B688" s="70"/>
      <c r="C688" s="70"/>
      <c r="D688" s="8"/>
      <c r="E688" s="8"/>
      <c r="I688" s="8"/>
      <c r="J688" s="8"/>
    </row>
    <row r="689" spans="1:10" x14ac:dyDescent="0.2">
      <c r="A689" s="82"/>
      <c r="B689" s="70"/>
      <c r="C689" s="70"/>
      <c r="D689" s="8"/>
      <c r="E689" s="8"/>
      <c r="I689" s="8"/>
      <c r="J689" s="8"/>
    </row>
    <row r="690" spans="1:10" x14ac:dyDescent="0.2">
      <c r="A690" s="82"/>
      <c r="B690" s="70"/>
      <c r="C690" s="70"/>
      <c r="D690" s="8"/>
      <c r="E690" s="8"/>
      <c r="I690" s="8"/>
      <c r="J690" s="8"/>
    </row>
    <row r="691" spans="1:10" x14ac:dyDescent="0.2">
      <c r="A691" s="82"/>
      <c r="B691" s="70"/>
      <c r="C691" s="70"/>
      <c r="D691" s="8"/>
      <c r="E691" s="8"/>
      <c r="I691" s="8"/>
      <c r="J691" s="8"/>
    </row>
    <row r="692" spans="1:10" x14ac:dyDescent="0.2">
      <c r="A692" s="82"/>
      <c r="B692" s="70"/>
      <c r="C692" s="70"/>
      <c r="D692" s="8"/>
      <c r="E692" s="8"/>
      <c r="I692" s="8"/>
      <c r="J692" s="8"/>
    </row>
    <row r="693" spans="1:10" x14ac:dyDescent="0.2">
      <c r="A693" s="82"/>
      <c r="B693" s="70"/>
      <c r="C693" s="70"/>
      <c r="D693" s="8"/>
      <c r="E693" s="8"/>
      <c r="I693" s="8"/>
      <c r="J693" s="8"/>
    </row>
    <row r="694" spans="1:10" x14ac:dyDescent="0.2">
      <c r="A694" s="82"/>
      <c r="B694" s="70"/>
      <c r="C694" s="70"/>
      <c r="D694" s="8"/>
      <c r="E694" s="8"/>
      <c r="I694" s="8"/>
      <c r="J694" s="8"/>
    </row>
    <row r="695" spans="1:10" x14ac:dyDescent="0.2">
      <c r="A695" s="82"/>
      <c r="B695" s="70"/>
      <c r="C695" s="70"/>
      <c r="D695" s="8"/>
      <c r="E695" s="8"/>
      <c r="I695" s="8"/>
      <c r="J695" s="8"/>
    </row>
    <row r="696" spans="1:10" x14ac:dyDescent="0.2">
      <c r="A696" s="82"/>
      <c r="B696" s="70"/>
      <c r="C696" s="70"/>
      <c r="D696" s="8"/>
      <c r="E696" s="8"/>
      <c r="I696" s="8"/>
      <c r="J696" s="8"/>
    </row>
    <row r="697" spans="1:10" x14ac:dyDescent="0.2">
      <c r="A697" s="82"/>
      <c r="B697" s="70"/>
      <c r="C697" s="70"/>
      <c r="D697" s="8"/>
      <c r="E697" s="8"/>
      <c r="I697" s="8"/>
      <c r="J697" s="8"/>
    </row>
    <row r="698" spans="1:10" x14ac:dyDescent="0.2">
      <c r="A698" s="82"/>
      <c r="B698" s="70"/>
      <c r="C698" s="70"/>
      <c r="D698" s="8"/>
      <c r="E698" s="8"/>
      <c r="I698" s="8"/>
      <c r="J698" s="8"/>
    </row>
    <row r="699" spans="1:10" x14ac:dyDescent="0.2">
      <c r="A699" s="82"/>
      <c r="B699" s="70"/>
      <c r="C699" s="70"/>
      <c r="D699" s="8"/>
      <c r="E699" s="8"/>
      <c r="I699" s="8"/>
      <c r="J699" s="8"/>
    </row>
    <row r="700" spans="1:10" x14ac:dyDescent="0.2">
      <c r="A700" s="82"/>
      <c r="B700" s="70"/>
      <c r="C700" s="70"/>
      <c r="D700" s="8"/>
      <c r="E700" s="8"/>
      <c r="I700" s="8"/>
      <c r="J700" s="8"/>
    </row>
    <row r="701" spans="1:10" x14ac:dyDescent="0.2">
      <c r="A701" s="82"/>
      <c r="B701" s="70"/>
      <c r="C701" s="70"/>
      <c r="D701" s="8"/>
      <c r="E701" s="8"/>
      <c r="I701" s="8"/>
      <c r="J701" s="8"/>
    </row>
    <row r="702" spans="1:10" x14ac:dyDescent="0.2">
      <c r="A702" s="82"/>
      <c r="B702" s="70"/>
      <c r="C702" s="70"/>
      <c r="D702" s="8"/>
      <c r="E702" s="8"/>
      <c r="I702" s="8"/>
      <c r="J702" s="8"/>
    </row>
    <row r="703" spans="1:10" x14ac:dyDescent="0.2">
      <c r="A703" s="82"/>
      <c r="B703" s="70"/>
      <c r="C703" s="70"/>
      <c r="D703" s="8"/>
      <c r="E703" s="8"/>
      <c r="I703" s="8"/>
      <c r="J703" s="8"/>
    </row>
    <row r="704" spans="1:10" x14ac:dyDescent="0.2">
      <c r="A704" s="82"/>
      <c r="B704" s="70"/>
      <c r="C704" s="70"/>
      <c r="D704" s="8"/>
      <c r="E704" s="8"/>
      <c r="I704" s="8"/>
      <c r="J704" s="8"/>
    </row>
    <row r="705" spans="1:10" x14ac:dyDescent="0.2">
      <c r="A705" s="82"/>
      <c r="B705" s="70"/>
      <c r="C705" s="70"/>
      <c r="D705" s="8"/>
      <c r="E705" s="8"/>
      <c r="I705" s="8"/>
      <c r="J705" s="8"/>
    </row>
    <row r="706" spans="1:10" x14ac:dyDescent="0.2">
      <c r="A706" s="82"/>
      <c r="B706" s="70"/>
      <c r="C706" s="70"/>
      <c r="D706" s="8"/>
      <c r="E706" s="8"/>
      <c r="I706" s="8"/>
      <c r="J706" s="8"/>
    </row>
    <row r="707" spans="1:10" x14ac:dyDescent="0.2">
      <c r="A707" s="82"/>
      <c r="B707" s="70"/>
      <c r="C707" s="70"/>
      <c r="D707" s="8"/>
      <c r="E707" s="8"/>
      <c r="I707" s="8"/>
      <c r="J707" s="8"/>
    </row>
    <row r="708" spans="1:10" x14ac:dyDescent="0.2">
      <c r="A708" s="82"/>
      <c r="B708" s="70"/>
      <c r="C708" s="70"/>
      <c r="D708" s="8"/>
      <c r="E708" s="8"/>
      <c r="I708" s="8"/>
      <c r="J708" s="8"/>
    </row>
    <row r="709" spans="1:10" x14ac:dyDescent="0.2">
      <c r="A709" s="82"/>
      <c r="B709" s="70"/>
      <c r="C709" s="70"/>
      <c r="D709" s="8"/>
      <c r="E709" s="8"/>
      <c r="I709" s="8"/>
      <c r="J709" s="8"/>
    </row>
    <row r="710" spans="1:10" x14ac:dyDescent="0.2">
      <c r="A710" s="82"/>
      <c r="B710" s="70"/>
      <c r="C710" s="70"/>
      <c r="D710" s="8"/>
      <c r="E710" s="8"/>
      <c r="I710" s="8"/>
      <c r="J710" s="8"/>
    </row>
    <row r="711" spans="1:10" x14ac:dyDescent="0.2">
      <c r="A711" s="82"/>
      <c r="B711" s="70"/>
      <c r="C711" s="70"/>
      <c r="D711" s="8"/>
      <c r="E711" s="8"/>
      <c r="I711" s="8"/>
      <c r="J711" s="8"/>
    </row>
    <row r="712" spans="1:10" x14ac:dyDescent="0.2">
      <c r="A712" s="82"/>
      <c r="B712" s="70"/>
      <c r="C712" s="70"/>
      <c r="D712" s="8"/>
      <c r="E712" s="8"/>
      <c r="I712" s="8"/>
      <c r="J712" s="8"/>
    </row>
    <row r="713" spans="1:10" x14ac:dyDescent="0.2">
      <c r="A713" s="82"/>
      <c r="B713" s="70"/>
      <c r="C713" s="70"/>
      <c r="D713" s="8"/>
      <c r="E713" s="8"/>
      <c r="I713" s="8"/>
      <c r="J713" s="8"/>
    </row>
    <row r="714" spans="1:10" x14ac:dyDescent="0.2">
      <c r="A714" s="82"/>
      <c r="B714" s="70"/>
      <c r="C714" s="70"/>
      <c r="D714" s="8"/>
      <c r="E714" s="8"/>
      <c r="I714" s="8"/>
      <c r="J714" s="8"/>
    </row>
    <row r="715" spans="1:10" x14ac:dyDescent="0.2">
      <c r="A715" s="82"/>
      <c r="B715" s="70"/>
      <c r="C715" s="70"/>
      <c r="D715" s="8"/>
      <c r="E715" s="8"/>
      <c r="I715" s="8"/>
      <c r="J715" s="8"/>
    </row>
    <row r="716" spans="1:10" x14ac:dyDescent="0.2">
      <c r="A716" s="82"/>
      <c r="B716" s="70"/>
      <c r="C716" s="70"/>
      <c r="D716" s="8"/>
      <c r="E716" s="8"/>
      <c r="I716" s="8"/>
      <c r="J716" s="8"/>
    </row>
    <row r="717" spans="1:10" x14ac:dyDescent="0.2">
      <c r="A717" s="82"/>
      <c r="B717" s="70"/>
      <c r="C717" s="70"/>
      <c r="D717" s="8"/>
      <c r="E717" s="8"/>
      <c r="I717" s="8"/>
      <c r="J717" s="8"/>
    </row>
    <row r="718" spans="1:10" x14ac:dyDescent="0.2">
      <c r="A718" s="82"/>
      <c r="B718" s="70"/>
      <c r="C718" s="70"/>
      <c r="D718" s="8"/>
      <c r="E718" s="8"/>
      <c r="I718" s="8"/>
      <c r="J718" s="8"/>
    </row>
    <row r="719" spans="1:10" x14ac:dyDescent="0.2">
      <c r="A719" s="82"/>
      <c r="B719" s="70"/>
      <c r="C719" s="70"/>
      <c r="D719" s="8"/>
      <c r="E719" s="8"/>
      <c r="I719" s="8"/>
      <c r="J719" s="8"/>
    </row>
    <row r="720" spans="1:10" x14ac:dyDescent="0.2">
      <c r="A720" s="82"/>
      <c r="B720" s="70"/>
      <c r="C720" s="70"/>
      <c r="D720" s="8"/>
      <c r="E720" s="8"/>
      <c r="I720" s="8"/>
      <c r="J720" s="8"/>
    </row>
    <row r="721" spans="1:10" x14ac:dyDescent="0.2">
      <c r="A721" s="82"/>
      <c r="B721" s="70"/>
      <c r="C721" s="70"/>
      <c r="D721" s="8"/>
      <c r="E721" s="8"/>
      <c r="I721" s="8"/>
      <c r="J721" s="8"/>
    </row>
    <row r="722" spans="1:10" x14ac:dyDescent="0.2">
      <c r="A722" s="82"/>
      <c r="B722" s="70"/>
      <c r="C722" s="70"/>
      <c r="D722" s="8"/>
      <c r="E722" s="8"/>
      <c r="I722" s="8"/>
      <c r="J722" s="8"/>
    </row>
    <row r="723" spans="1:10" x14ac:dyDescent="0.2">
      <c r="A723" s="82"/>
      <c r="B723" s="70"/>
      <c r="C723" s="70"/>
      <c r="D723" s="8"/>
      <c r="E723" s="8"/>
      <c r="I723" s="8"/>
      <c r="J723" s="8"/>
    </row>
    <row r="724" spans="1:10" x14ac:dyDescent="0.2">
      <c r="A724" s="82"/>
      <c r="B724" s="70"/>
      <c r="C724" s="70"/>
      <c r="D724" s="8"/>
      <c r="E724" s="8"/>
      <c r="I724" s="8"/>
      <c r="J724" s="8"/>
    </row>
    <row r="725" spans="1:10" x14ac:dyDescent="0.2">
      <c r="A725" s="82"/>
      <c r="B725" s="70"/>
      <c r="C725" s="70"/>
      <c r="D725" s="8"/>
      <c r="E725" s="8"/>
      <c r="I725" s="8"/>
      <c r="J725" s="8"/>
    </row>
    <row r="726" spans="1:10" x14ac:dyDescent="0.2">
      <c r="A726" s="82"/>
      <c r="B726" s="70"/>
      <c r="C726" s="70"/>
      <c r="D726" s="8"/>
      <c r="E726" s="8"/>
      <c r="I726" s="8"/>
      <c r="J726" s="8"/>
    </row>
    <row r="727" spans="1:10" x14ac:dyDescent="0.2">
      <c r="A727" s="82"/>
      <c r="B727" s="70"/>
      <c r="C727" s="70"/>
      <c r="D727" s="8"/>
      <c r="E727" s="8"/>
      <c r="I727" s="8"/>
      <c r="J727" s="8"/>
    </row>
    <row r="728" spans="1:10" x14ac:dyDescent="0.2">
      <c r="A728" s="82"/>
      <c r="B728" s="70"/>
      <c r="C728" s="70"/>
      <c r="D728" s="8"/>
      <c r="E728" s="8"/>
      <c r="I728" s="8"/>
      <c r="J728" s="8"/>
    </row>
    <row r="729" spans="1:10" x14ac:dyDescent="0.2">
      <c r="A729" s="82"/>
      <c r="B729" s="70"/>
      <c r="C729" s="70"/>
      <c r="D729" s="8"/>
      <c r="E729" s="8"/>
      <c r="I729" s="8"/>
      <c r="J729" s="8"/>
    </row>
    <row r="730" spans="1:10" x14ac:dyDescent="0.2">
      <c r="A730" s="82"/>
      <c r="B730" s="70"/>
      <c r="C730" s="70"/>
      <c r="D730" s="8"/>
      <c r="E730" s="8"/>
      <c r="I730" s="8"/>
      <c r="J730" s="8"/>
    </row>
    <row r="731" spans="1:10" x14ac:dyDescent="0.2">
      <c r="A731" s="82"/>
      <c r="B731" s="70"/>
      <c r="C731" s="70"/>
      <c r="D731" s="8"/>
      <c r="E731" s="8"/>
      <c r="I731" s="8"/>
      <c r="J731" s="8"/>
    </row>
    <row r="732" spans="1:10" x14ac:dyDescent="0.2">
      <c r="A732" s="82"/>
      <c r="B732" s="70"/>
      <c r="C732" s="70"/>
      <c r="D732" s="8"/>
      <c r="E732" s="8"/>
      <c r="I732" s="8"/>
      <c r="J732" s="8"/>
    </row>
    <row r="733" spans="1:10" x14ac:dyDescent="0.2">
      <c r="A733" s="82"/>
      <c r="B733" s="70"/>
      <c r="C733" s="70"/>
      <c r="D733" s="8"/>
      <c r="E733" s="8"/>
      <c r="I733" s="8"/>
      <c r="J733" s="8"/>
    </row>
    <row r="734" spans="1:10" x14ac:dyDescent="0.2">
      <c r="A734" s="82"/>
      <c r="B734" s="70"/>
      <c r="C734" s="70"/>
      <c r="D734" s="8"/>
      <c r="E734" s="8"/>
      <c r="I734" s="8"/>
      <c r="J734" s="8"/>
    </row>
    <row r="735" spans="1:10" x14ac:dyDescent="0.2">
      <c r="A735" s="82"/>
      <c r="B735" s="70"/>
      <c r="C735" s="70"/>
      <c r="D735" s="8"/>
      <c r="E735" s="8"/>
      <c r="I735" s="8"/>
      <c r="J735" s="8"/>
    </row>
    <row r="736" spans="1:10" x14ac:dyDescent="0.2">
      <c r="A736" s="82"/>
      <c r="B736" s="70"/>
      <c r="C736" s="70"/>
      <c r="D736" s="8"/>
      <c r="E736" s="8"/>
      <c r="I736" s="8"/>
      <c r="J736" s="8"/>
    </row>
    <row r="737" spans="1:10" x14ac:dyDescent="0.2">
      <c r="A737" s="82"/>
      <c r="B737" s="70"/>
      <c r="C737" s="70"/>
      <c r="D737" s="8"/>
      <c r="E737" s="8"/>
      <c r="I737" s="8"/>
      <c r="J737" s="8"/>
    </row>
    <row r="738" spans="1:10" x14ac:dyDescent="0.2">
      <c r="A738" s="82"/>
      <c r="B738" s="70"/>
      <c r="C738" s="70"/>
      <c r="D738" s="8"/>
      <c r="E738" s="8"/>
      <c r="I738" s="8"/>
      <c r="J738" s="8"/>
    </row>
    <row r="739" spans="1:10" x14ac:dyDescent="0.2">
      <c r="A739" s="82"/>
      <c r="B739" s="70"/>
      <c r="C739" s="70"/>
      <c r="D739" s="8"/>
      <c r="E739" s="8"/>
      <c r="I739" s="8"/>
      <c r="J739" s="8"/>
    </row>
    <row r="740" spans="1:10" x14ac:dyDescent="0.2">
      <c r="A740" s="82"/>
      <c r="B740" s="70"/>
      <c r="C740" s="70"/>
      <c r="D740" s="8"/>
      <c r="E740" s="8"/>
      <c r="I740" s="8"/>
      <c r="J740" s="8"/>
    </row>
    <row r="741" spans="1:10" x14ac:dyDescent="0.2">
      <c r="A741" s="82"/>
      <c r="B741" s="70"/>
      <c r="C741" s="70"/>
      <c r="D741" s="8"/>
      <c r="E741" s="8"/>
      <c r="I741" s="8"/>
      <c r="J741" s="8"/>
    </row>
    <row r="742" spans="1:10" x14ac:dyDescent="0.2">
      <c r="A742" s="82"/>
      <c r="B742" s="70"/>
      <c r="C742" s="70"/>
      <c r="D742" s="8"/>
      <c r="E742" s="8"/>
      <c r="I742" s="8"/>
      <c r="J742" s="8"/>
    </row>
    <row r="743" spans="1:10" x14ac:dyDescent="0.2">
      <c r="A743" s="82"/>
      <c r="B743" s="70"/>
      <c r="C743" s="70"/>
      <c r="D743" s="8"/>
      <c r="E743" s="8"/>
      <c r="I743" s="8"/>
      <c r="J743" s="8"/>
    </row>
    <row r="744" spans="1:10" x14ac:dyDescent="0.2">
      <c r="A744" s="82"/>
      <c r="B744" s="70"/>
      <c r="C744" s="70"/>
      <c r="D744" s="8"/>
      <c r="E744" s="8"/>
      <c r="I744" s="8"/>
      <c r="J744" s="8"/>
    </row>
    <row r="745" spans="1:10" x14ac:dyDescent="0.2">
      <c r="A745" s="82"/>
      <c r="B745" s="70"/>
      <c r="C745" s="70"/>
      <c r="D745" s="8"/>
      <c r="E745" s="8"/>
      <c r="I745" s="8"/>
      <c r="J745" s="8"/>
    </row>
    <row r="746" spans="1:10" x14ac:dyDescent="0.2">
      <c r="A746" s="82"/>
      <c r="B746" s="70"/>
      <c r="C746" s="70"/>
      <c r="D746" s="8"/>
      <c r="E746" s="8"/>
      <c r="I746" s="8"/>
      <c r="J746" s="8"/>
    </row>
    <row r="747" spans="1:10" x14ac:dyDescent="0.2">
      <c r="A747" s="82"/>
      <c r="B747" s="70"/>
      <c r="C747" s="70"/>
      <c r="D747" s="8"/>
      <c r="E747" s="8"/>
      <c r="I747" s="8"/>
      <c r="J747" s="8"/>
    </row>
    <row r="748" spans="1:10" x14ac:dyDescent="0.2">
      <c r="A748" s="82"/>
      <c r="B748" s="70"/>
      <c r="C748" s="70"/>
      <c r="D748" s="8"/>
      <c r="E748" s="8"/>
      <c r="I748" s="8"/>
      <c r="J748" s="8"/>
    </row>
    <row r="749" spans="1:10" x14ac:dyDescent="0.2">
      <c r="A749" s="82"/>
      <c r="B749" s="70"/>
      <c r="C749" s="70"/>
      <c r="D749" s="8"/>
      <c r="E749" s="8"/>
      <c r="I749" s="8"/>
      <c r="J749" s="8"/>
    </row>
    <row r="750" spans="1:10" x14ac:dyDescent="0.2">
      <c r="A750" s="82"/>
      <c r="B750" s="70"/>
      <c r="C750" s="70"/>
      <c r="D750" s="8"/>
      <c r="E750" s="8"/>
      <c r="I750" s="8"/>
      <c r="J750" s="8"/>
    </row>
    <row r="751" spans="1:10" x14ac:dyDescent="0.2">
      <c r="A751" s="82"/>
      <c r="B751" s="70"/>
      <c r="C751" s="70"/>
      <c r="D751" s="8"/>
      <c r="E751" s="8"/>
      <c r="I751" s="8"/>
      <c r="J751" s="8"/>
    </row>
    <row r="752" spans="1:10" x14ac:dyDescent="0.2">
      <c r="A752" s="82"/>
      <c r="B752" s="70"/>
      <c r="C752" s="70"/>
      <c r="D752" s="8"/>
      <c r="E752" s="8"/>
      <c r="I752" s="8"/>
      <c r="J752" s="8"/>
    </row>
    <row r="753" spans="1:10" x14ac:dyDescent="0.2">
      <c r="A753" s="82"/>
      <c r="B753" s="70"/>
      <c r="C753" s="70"/>
      <c r="D753" s="8"/>
      <c r="E753" s="8"/>
      <c r="I753" s="8"/>
      <c r="J753" s="8"/>
    </row>
    <row r="754" spans="1:10" x14ac:dyDescent="0.2">
      <c r="A754" s="82"/>
      <c r="B754" s="70"/>
      <c r="C754" s="70"/>
      <c r="D754" s="8"/>
      <c r="E754" s="8"/>
      <c r="I754" s="8"/>
      <c r="J754" s="8"/>
    </row>
    <row r="755" spans="1:10" x14ac:dyDescent="0.2">
      <c r="A755" s="82"/>
      <c r="B755" s="70"/>
      <c r="C755" s="70"/>
      <c r="D755" s="8"/>
      <c r="E755" s="8"/>
      <c r="I755" s="8"/>
      <c r="J755" s="8"/>
    </row>
    <row r="756" spans="1:10" x14ac:dyDescent="0.2">
      <c r="A756" s="82"/>
      <c r="B756" s="70"/>
      <c r="C756" s="70"/>
      <c r="D756" s="8"/>
      <c r="E756" s="8"/>
      <c r="I756" s="8"/>
      <c r="J756" s="8"/>
    </row>
    <row r="757" spans="1:10" x14ac:dyDescent="0.2">
      <c r="A757" s="82"/>
      <c r="B757" s="70"/>
      <c r="C757" s="70"/>
      <c r="D757" s="8"/>
      <c r="E757" s="8"/>
      <c r="I757" s="8"/>
      <c r="J757" s="8"/>
    </row>
    <row r="758" spans="1:10" x14ac:dyDescent="0.2">
      <c r="A758" s="82"/>
      <c r="B758" s="70"/>
      <c r="C758" s="70"/>
      <c r="D758" s="8"/>
      <c r="E758" s="8"/>
      <c r="I758" s="8"/>
      <c r="J758" s="8"/>
    </row>
    <row r="759" spans="1:10" x14ac:dyDescent="0.2">
      <c r="A759" s="82"/>
      <c r="B759" s="70"/>
      <c r="C759" s="70"/>
      <c r="D759" s="8"/>
      <c r="E759" s="8"/>
      <c r="I759" s="8"/>
      <c r="J759" s="8"/>
    </row>
    <row r="760" spans="1:10" x14ac:dyDescent="0.2">
      <c r="A760" s="82"/>
      <c r="B760" s="70"/>
      <c r="C760" s="70"/>
      <c r="D760" s="8"/>
      <c r="E760" s="8"/>
      <c r="I760" s="8"/>
      <c r="J760" s="8"/>
    </row>
    <row r="761" spans="1:10" x14ac:dyDescent="0.2">
      <c r="A761" s="82"/>
      <c r="B761" s="70"/>
      <c r="C761" s="70"/>
      <c r="D761" s="8"/>
      <c r="E761" s="8"/>
      <c r="I761" s="8"/>
      <c r="J761" s="8"/>
    </row>
    <row r="762" spans="1:10" x14ac:dyDescent="0.2">
      <c r="A762" s="82"/>
      <c r="B762" s="70"/>
      <c r="C762" s="70"/>
      <c r="D762" s="8"/>
      <c r="E762" s="8"/>
      <c r="I762" s="8"/>
      <c r="J762" s="8"/>
    </row>
    <row r="763" spans="1:10" x14ac:dyDescent="0.2">
      <c r="A763" s="82"/>
      <c r="B763" s="70"/>
      <c r="C763" s="70"/>
      <c r="D763" s="8"/>
      <c r="E763" s="8"/>
      <c r="I763" s="8"/>
      <c r="J763" s="8"/>
    </row>
    <row r="764" spans="1:10" x14ac:dyDescent="0.2">
      <c r="A764" s="82"/>
      <c r="B764" s="70"/>
      <c r="C764" s="70"/>
      <c r="D764" s="8"/>
      <c r="E764" s="8"/>
      <c r="I764" s="8"/>
      <c r="J764" s="8"/>
    </row>
    <row r="765" spans="1:10" x14ac:dyDescent="0.2">
      <c r="A765" s="82"/>
      <c r="B765" s="70"/>
      <c r="C765" s="70"/>
      <c r="D765" s="8"/>
      <c r="E765" s="8"/>
      <c r="I765" s="8"/>
      <c r="J765" s="8"/>
    </row>
    <row r="766" spans="1:10" x14ac:dyDescent="0.2">
      <c r="A766" s="82"/>
      <c r="B766" s="70"/>
      <c r="C766" s="70"/>
      <c r="D766" s="8"/>
      <c r="E766" s="8"/>
      <c r="I766" s="8"/>
      <c r="J766" s="8"/>
    </row>
    <row r="767" spans="1:10" x14ac:dyDescent="0.2">
      <c r="A767" s="82"/>
      <c r="B767" s="70"/>
      <c r="C767" s="70"/>
      <c r="D767" s="8"/>
      <c r="E767" s="8"/>
      <c r="I767" s="8"/>
      <c r="J767" s="8"/>
    </row>
    <row r="768" spans="1:10" x14ac:dyDescent="0.2">
      <c r="A768" s="82"/>
      <c r="B768" s="70"/>
      <c r="C768" s="70"/>
      <c r="D768" s="8"/>
      <c r="E768" s="8"/>
      <c r="I768" s="8"/>
      <c r="J768" s="8"/>
    </row>
    <row r="769" spans="1:10" x14ac:dyDescent="0.2">
      <c r="A769" s="82"/>
      <c r="B769" s="70"/>
      <c r="C769" s="70"/>
      <c r="D769" s="8"/>
      <c r="E769" s="8"/>
      <c r="I769" s="8"/>
      <c r="J769" s="8"/>
    </row>
    <row r="770" spans="1:10" x14ac:dyDescent="0.2">
      <c r="A770" s="82"/>
      <c r="B770" s="70"/>
      <c r="C770" s="70"/>
      <c r="D770" s="8"/>
      <c r="E770" s="8"/>
      <c r="I770" s="8"/>
      <c r="J770" s="8"/>
    </row>
    <row r="771" spans="1:10" x14ac:dyDescent="0.2">
      <c r="A771" s="82"/>
      <c r="B771" s="70"/>
      <c r="C771" s="70"/>
      <c r="D771" s="8"/>
      <c r="E771" s="8"/>
      <c r="I771" s="8"/>
      <c r="J771" s="8"/>
    </row>
    <row r="772" spans="1:10" x14ac:dyDescent="0.2">
      <c r="A772" s="82"/>
      <c r="B772" s="70"/>
      <c r="C772" s="70"/>
      <c r="D772" s="8"/>
      <c r="E772" s="8"/>
      <c r="I772" s="8"/>
      <c r="J772" s="8"/>
    </row>
    <row r="773" spans="1:10" x14ac:dyDescent="0.2">
      <c r="A773" s="82"/>
      <c r="B773" s="70"/>
      <c r="C773" s="70"/>
      <c r="D773" s="8"/>
      <c r="E773" s="8"/>
      <c r="I773" s="8"/>
      <c r="J773" s="8"/>
    </row>
    <row r="774" spans="1:10" x14ac:dyDescent="0.2">
      <c r="A774" s="82"/>
      <c r="B774" s="70"/>
      <c r="C774" s="70"/>
      <c r="D774" s="8"/>
      <c r="E774" s="8"/>
      <c r="I774" s="8"/>
      <c r="J774" s="8"/>
    </row>
    <row r="775" spans="1:10" x14ac:dyDescent="0.2">
      <c r="A775" s="82"/>
      <c r="B775" s="70"/>
      <c r="C775" s="70"/>
      <c r="D775" s="8"/>
      <c r="E775" s="8"/>
      <c r="I775" s="8"/>
      <c r="J775" s="8"/>
    </row>
    <row r="776" spans="1:10" x14ac:dyDescent="0.2">
      <c r="A776" s="82"/>
      <c r="B776" s="70"/>
      <c r="C776" s="70"/>
      <c r="D776" s="8"/>
      <c r="E776" s="8"/>
      <c r="I776" s="8"/>
      <c r="J776" s="8"/>
    </row>
    <row r="777" spans="1:10" x14ac:dyDescent="0.2">
      <c r="A777" s="82"/>
      <c r="B777" s="70"/>
      <c r="C777" s="70"/>
      <c r="D777" s="8"/>
      <c r="E777" s="8"/>
      <c r="I777" s="8"/>
      <c r="J777" s="8"/>
    </row>
    <row r="778" spans="1:10" x14ac:dyDescent="0.2">
      <c r="A778" s="82"/>
      <c r="B778" s="70"/>
      <c r="C778" s="70"/>
      <c r="D778" s="8"/>
      <c r="E778" s="8"/>
      <c r="I778" s="8"/>
      <c r="J778" s="8"/>
    </row>
    <row r="779" spans="1:10" x14ac:dyDescent="0.2">
      <c r="A779" s="82"/>
      <c r="B779" s="70"/>
      <c r="C779" s="70"/>
      <c r="D779" s="8"/>
      <c r="E779" s="8"/>
      <c r="I779" s="8"/>
      <c r="J779" s="8"/>
    </row>
    <row r="780" spans="1:10" x14ac:dyDescent="0.2">
      <c r="A780" s="82"/>
      <c r="B780" s="70"/>
      <c r="C780" s="70"/>
      <c r="D780" s="8"/>
      <c r="E780" s="8"/>
      <c r="I780" s="8"/>
      <c r="J780" s="8"/>
    </row>
    <row r="781" spans="1:10" x14ac:dyDescent="0.2">
      <c r="A781" s="82"/>
      <c r="B781" s="70"/>
      <c r="C781" s="70"/>
      <c r="D781" s="8"/>
      <c r="E781" s="8"/>
      <c r="I781" s="8"/>
      <c r="J781" s="8"/>
    </row>
    <row r="782" spans="1:10" x14ac:dyDescent="0.2">
      <c r="A782" s="82"/>
      <c r="B782" s="70"/>
      <c r="C782" s="70"/>
      <c r="D782" s="8"/>
      <c r="E782" s="8"/>
      <c r="I782" s="8"/>
      <c r="J782" s="8"/>
    </row>
    <row r="783" spans="1:10" x14ac:dyDescent="0.2">
      <c r="A783" s="82"/>
      <c r="B783" s="70"/>
      <c r="C783" s="70"/>
      <c r="D783" s="8"/>
      <c r="E783" s="8"/>
      <c r="I783" s="8"/>
      <c r="J783" s="8"/>
    </row>
    <row r="784" spans="1:10" x14ac:dyDescent="0.2">
      <c r="A784" s="82"/>
      <c r="B784" s="70"/>
      <c r="C784" s="70"/>
      <c r="D784" s="8"/>
      <c r="E784" s="8"/>
      <c r="I784" s="8"/>
      <c r="J784" s="8"/>
    </row>
    <row r="785" spans="1:10" x14ac:dyDescent="0.2">
      <c r="A785" s="82"/>
      <c r="B785" s="70"/>
      <c r="C785" s="70"/>
      <c r="D785" s="8"/>
      <c r="E785" s="8"/>
      <c r="I785" s="8"/>
      <c r="J785" s="8"/>
    </row>
    <row r="786" spans="1:10" x14ac:dyDescent="0.2">
      <c r="A786" s="82"/>
      <c r="B786" s="70"/>
      <c r="C786" s="70"/>
      <c r="D786" s="8"/>
      <c r="E786" s="8"/>
      <c r="I786" s="8"/>
      <c r="J786" s="8"/>
    </row>
    <row r="787" spans="1:10" x14ac:dyDescent="0.2">
      <c r="A787" s="82"/>
      <c r="B787" s="70"/>
      <c r="C787" s="70"/>
      <c r="D787" s="8"/>
      <c r="E787" s="8"/>
      <c r="I787" s="8"/>
      <c r="J787" s="8"/>
    </row>
    <row r="788" spans="1:10" x14ac:dyDescent="0.2">
      <c r="A788" s="82"/>
      <c r="B788" s="70"/>
      <c r="C788" s="70"/>
      <c r="D788" s="8"/>
      <c r="E788" s="8"/>
      <c r="I788" s="8"/>
      <c r="J788" s="8"/>
    </row>
    <row r="789" spans="1:10" x14ac:dyDescent="0.2">
      <c r="A789" s="82"/>
      <c r="B789" s="70"/>
      <c r="C789" s="70"/>
      <c r="D789" s="8"/>
      <c r="E789" s="8"/>
      <c r="I789" s="8"/>
      <c r="J789" s="8"/>
    </row>
    <row r="790" spans="1:10" x14ac:dyDescent="0.2">
      <c r="A790" s="82"/>
      <c r="B790" s="70"/>
      <c r="C790" s="70"/>
      <c r="D790" s="8"/>
      <c r="E790" s="8"/>
      <c r="I790" s="8"/>
      <c r="J790" s="8"/>
    </row>
    <row r="791" spans="1:10" x14ac:dyDescent="0.2">
      <c r="A791" s="82"/>
      <c r="B791" s="70"/>
      <c r="C791" s="70"/>
      <c r="D791" s="8"/>
      <c r="E791" s="8"/>
      <c r="I791" s="8"/>
      <c r="J791" s="8"/>
    </row>
    <row r="792" spans="1:10" x14ac:dyDescent="0.2">
      <c r="A792" s="82"/>
      <c r="B792" s="70"/>
      <c r="C792" s="70"/>
      <c r="D792" s="8"/>
      <c r="E792" s="8"/>
      <c r="I792" s="8"/>
      <c r="J792" s="8"/>
    </row>
    <row r="793" spans="1:10" x14ac:dyDescent="0.2">
      <c r="A793" s="82"/>
      <c r="B793" s="70"/>
      <c r="C793" s="70"/>
      <c r="D793" s="8"/>
      <c r="E793" s="8"/>
      <c r="I793" s="8"/>
      <c r="J793" s="8"/>
    </row>
    <row r="794" spans="1:10" x14ac:dyDescent="0.2">
      <c r="A794" s="82"/>
      <c r="B794" s="70"/>
      <c r="C794" s="70"/>
      <c r="D794" s="8"/>
      <c r="E794" s="8"/>
      <c r="I794" s="8"/>
      <c r="J794" s="8"/>
    </row>
    <row r="795" spans="1:10" x14ac:dyDescent="0.2">
      <c r="A795" s="82"/>
      <c r="B795" s="70"/>
      <c r="C795" s="70"/>
      <c r="D795" s="8"/>
      <c r="E795" s="8"/>
      <c r="I795" s="8"/>
      <c r="J795" s="8"/>
    </row>
    <row r="796" spans="1:10" x14ac:dyDescent="0.2">
      <c r="A796" s="82"/>
      <c r="B796" s="70"/>
      <c r="C796" s="70"/>
      <c r="D796" s="8"/>
      <c r="E796" s="8"/>
      <c r="I796" s="8"/>
      <c r="J796" s="8"/>
    </row>
    <row r="797" spans="1:10" x14ac:dyDescent="0.2">
      <c r="A797" s="82"/>
      <c r="B797" s="70"/>
      <c r="C797" s="70"/>
      <c r="D797" s="8"/>
      <c r="E797" s="8"/>
      <c r="I797" s="8"/>
      <c r="J797" s="8"/>
    </row>
    <row r="798" spans="1:10" x14ac:dyDescent="0.2">
      <c r="A798" s="82"/>
      <c r="B798" s="70"/>
      <c r="C798" s="70"/>
      <c r="D798" s="8"/>
      <c r="E798" s="8"/>
      <c r="I798" s="8"/>
      <c r="J798" s="8"/>
    </row>
    <row r="799" spans="1:10" x14ac:dyDescent="0.2">
      <c r="A799" s="82"/>
      <c r="B799" s="70"/>
      <c r="C799" s="70"/>
      <c r="D799" s="8"/>
      <c r="E799" s="8"/>
      <c r="I799" s="8"/>
      <c r="J799" s="8"/>
    </row>
    <row r="800" spans="1:10" x14ac:dyDescent="0.2">
      <c r="A800" s="82"/>
      <c r="B800" s="70"/>
      <c r="C800" s="70"/>
      <c r="D800" s="8"/>
      <c r="E800" s="8"/>
      <c r="I800" s="8"/>
      <c r="J800" s="8"/>
    </row>
    <row r="801" spans="1:10" x14ac:dyDescent="0.2">
      <c r="A801" s="82"/>
      <c r="B801" s="70"/>
      <c r="C801" s="70"/>
      <c r="D801" s="8"/>
      <c r="E801" s="8"/>
      <c r="I801" s="8"/>
      <c r="J801" s="8"/>
    </row>
    <row r="802" spans="1:10" x14ac:dyDescent="0.2">
      <c r="A802" s="82"/>
      <c r="B802" s="70"/>
      <c r="C802" s="70"/>
      <c r="D802" s="8"/>
      <c r="E802" s="8"/>
      <c r="I802" s="8"/>
      <c r="J802" s="8"/>
    </row>
    <row r="803" spans="1:10" x14ac:dyDescent="0.2">
      <c r="A803" s="82"/>
      <c r="B803" s="70"/>
      <c r="C803" s="70"/>
      <c r="D803" s="8"/>
      <c r="E803" s="8"/>
      <c r="I803" s="8"/>
      <c r="J803" s="8"/>
    </row>
    <row r="804" spans="1:10" x14ac:dyDescent="0.2">
      <c r="A804" s="82"/>
      <c r="B804" s="70"/>
      <c r="C804" s="70"/>
      <c r="D804" s="8"/>
      <c r="E804" s="8"/>
      <c r="I804" s="8"/>
      <c r="J804" s="8"/>
    </row>
    <row r="805" spans="1:10" x14ac:dyDescent="0.2">
      <c r="A805" s="82"/>
      <c r="B805" s="70"/>
      <c r="C805" s="70"/>
      <c r="D805" s="8"/>
      <c r="E805" s="8"/>
      <c r="I805" s="8"/>
      <c r="J805" s="8"/>
    </row>
    <row r="806" spans="1:10" x14ac:dyDescent="0.2">
      <c r="A806" s="82"/>
      <c r="B806" s="70"/>
      <c r="C806" s="70"/>
      <c r="D806" s="8"/>
      <c r="E806" s="8"/>
      <c r="I806" s="8"/>
      <c r="J806" s="8"/>
    </row>
    <row r="807" spans="1:10" x14ac:dyDescent="0.2">
      <c r="A807" s="82"/>
      <c r="B807" s="70"/>
      <c r="C807" s="70"/>
      <c r="D807" s="8"/>
      <c r="E807" s="8"/>
      <c r="I807" s="8"/>
      <c r="J807" s="8"/>
    </row>
    <row r="808" spans="1:10" x14ac:dyDescent="0.2">
      <c r="A808" s="82"/>
      <c r="B808" s="70"/>
      <c r="C808" s="70"/>
      <c r="D808" s="8"/>
      <c r="E808" s="8"/>
      <c r="I808" s="8"/>
      <c r="J808" s="8"/>
    </row>
    <row r="809" spans="1:10" x14ac:dyDescent="0.2">
      <c r="A809" s="82"/>
      <c r="B809" s="70"/>
      <c r="C809" s="70"/>
      <c r="D809" s="8"/>
      <c r="E809" s="8"/>
      <c r="I809" s="8"/>
      <c r="J809" s="8"/>
    </row>
    <row r="810" spans="1:10" x14ac:dyDescent="0.2">
      <c r="A810" s="82"/>
      <c r="B810" s="70"/>
      <c r="C810" s="70"/>
      <c r="D810" s="8"/>
      <c r="E810" s="8"/>
      <c r="I810" s="8"/>
      <c r="J810" s="8"/>
    </row>
    <row r="811" spans="1:10" x14ac:dyDescent="0.2">
      <c r="A811" s="82"/>
      <c r="B811" s="70"/>
      <c r="C811" s="70"/>
      <c r="D811" s="8"/>
      <c r="E811" s="8"/>
      <c r="I811" s="8"/>
      <c r="J811" s="8"/>
    </row>
    <row r="812" spans="1:10" x14ac:dyDescent="0.2">
      <c r="A812" s="82"/>
      <c r="B812" s="70"/>
      <c r="C812" s="70"/>
      <c r="D812" s="8"/>
      <c r="E812" s="8"/>
      <c r="I812" s="8"/>
      <c r="J812" s="8"/>
    </row>
    <row r="813" spans="1:10" x14ac:dyDescent="0.2">
      <c r="A813" s="82"/>
      <c r="B813" s="70"/>
      <c r="C813" s="70"/>
      <c r="D813" s="8"/>
      <c r="E813" s="8"/>
      <c r="I813" s="8"/>
      <c r="J813" s="8"/>
    </row>
    <row r="814" spans="1:10" x14ac:dyDescent="0.2">
      <c r="A814" s="82"/>
      <c r="B814" s="70"/>
      <c r="C814" s="70"/>
      <c r="D814" s="8"/>
      <c r="E814" s="8"/>
      <c r="I814" s="8"/>
      <c r="J814" s="8"/>
    </row>
    <row r="815" spans="1:10" x14ac:dyDescent="0.2">
      <c r="A815" s="82"/>
      <c r="B815" s="70"/>
      <c r="C815" s="70"/>
      <c r="D815" s="8"/>
      <c r="E815" s="8"/>
      <c r="I815" s="8"/>
      <c r="J815" s="8"/>
    </row>
    <row r="816" spans="1:10" x14ac:dyDescent="0.2">
      <c r="A816" s="82"/>
      <c r="B816" s="70"/>
      <c r="C816" s="70"/>
      <c r="D816" s="8"/>
      <c r="E816" s="8"/>
      <c r="I816" s="8"/>
      <c r="J816" s="8"/>
    </row>
    <row r="817" spans="1:10" x14ac:dyDescent="0.2">
      <c r="A817" s="82"/>
      <c r="B817" s="70"/>
      <c r="C817" s="70"/>
      <c r="D817" s="8"/>
      <c r="E817" s="8"/>
      <c r="I817" s="8"/>
      <c r="J817" s="8"/>
    </row>
    <row r="818" spans="1:10" x14ac:dyDescent="0.2">
      <c r="A818" s="82"/>
      <c r="B818" s="70"/>
      <c r="C818" s="70"/>
      <c r="D818" s="8"/>
      <c r="E818" s="8"/>
      <c r="I818" s="8"/>
      <c r="J818" s="8"/>
    </row>
    <row r="819" spans="1:10" x14ac:dyDescent="0.2">
      <c r="A819" s="82"/>
      <c r="B819" s="70"/>
      <c r="C819" s="70"/>
      <c r="D819" s="8"/>
      <c r="E819" s="8"/>
      <c r="I819" s="8"/>
      <c r="J819" s="8"/>
    </row>
    <row r="820" spans="1:10" x14ac:dyDescent="0.2">
      <c r="A820" s="82"/>
      <c r="B820" s="70"/>
      <c r="C820" s="70"/>
      <c r="D820" s="8"/>
      <c r="E820" s="8"/>
      <c r="I820" s="8"/>
      <c r="J820" s="8"/>
    </row>
    <row r="821" spans="1:10" x14ac:dyDescent="0.2">
      <c r="A821" s="82"/>
      <c r="B821" s="70"/>
      <c r="C821" s="70"/>
      <c r="D821" s="8"/>
      <c r="E821" s="8"/>
      <c r="I821" s="8"/>
      <c r="J821" s="8"/>
    </row>
    <row r="822" spans="1:10" x14ac:dyDescent="0.2">
      <c r="A822" s="82"/>
      <c r="B822" s="70"/>
      <c r="C822" s="70"/>
      <c r="D822" s="8"/>
      <c r="E822" s="8"/>
      <c r="I822" s="8"/>
      <c r="J822" s="8"/>
    </row>
    <row r="823" spans="1:10" x14ac:dyDescent="0.2">
      <c r="A823" s="82"/>
      <c r="B823" s="70"/>
      <c r="C823" s="70"/>
      <c r="D823" s="8"/>
      <c r="E823" s="8"/>
      <c r="I823" s="8"/>
      <c r="J823" s="8"/>
    </row>
    <row r="824" spans="1:10" x14ac:dyDescent="0.2">
      <c r="A824" s="82"/>
      <c r="B824" s="70"/>
      <c r="C824" s="70"/>
      <c r="D824" s="8"/>
      <c r="E824" s="8"/>
      <c r="I824" s="8"/>
      <c r="J824" s="8"/>
    </row>
    <row r="825" spans="1:10" x14ac:dyDescent="0.2">
      <c r="A825" s="82"/>
      <c r="B825" s="70"/>
      <c r="C825" s="70"/>
      <c r="D825" s="8"/>
      <c r="E825" s="8"/>
      <c r="I825" s="8"/>
      <c r="J825" s="8"/>
    </row>
    <row r="826" spans="1:10" x14ac:dyDescent="0.2">
      <c r="A826" s="82"/>
      <c r="B826" s="70"/>
      <c r="C826" s="70"/>
      <c r="D826" s="8"/>
      <c r="E826" s="8"/>
      <c r="I826" s="8"/>
      <c r="J826" s="8"/>
    </row>
    <row r="827" spans="1:10" x14ac:dyDescent="0.2">
      <c r="A827" s="82"/>
      <c r="B827" s="70"/>
      <c r="C827" s="70"/>
      <c r="D827" s="8"/>
      <c r="E827" s="8"/>
      <c r="I827" s="8"/>
      <c r="J827" s="8"/>
    </row>
    <row r="828" spans="1:10" x14ac:dyDescent="0.2">
      <c r="A828" s="82"/>
      <c r="B828" s="70"/>
      <c r="C828" s="70"/>
      <c r="D828" s="8"/>
      <c r="E828" s="8"/>
      <c r="I828" s="8"/>
      <c r="J828" s="8"/>
    </row>
    <row r="829" spans="1:10" x14ac:dyDescent="0.2">
      <c r="A829" s="82"/>
      <c r="B829" s="70"/>
      <c r="C829" s="70"/>
      <c r="D829" s="8"/>
      <c r="E829" s="8"/>
      <c r="I829" s="8"/>
      <c r="J829" s="8"/>
    </row>
    <row r="830" spans="1:10" x14ac:dyDescent="0.2">
      <c r="A830" s="82"/>
      <c r="B830" s="70"/>
      <c r="C830" s="70"/>
      <c r="D830" s="8"/>
      <c r="E830" s="8"/>
      <c r="I830" s="8"/>
      <c r="J830" s="8"/>
    </row>
    <row r="831" spans="1:10" x14ac:dyDescent="0.2">
      <c r="A831" s="82"/>
      <c r="B831" s="70"/>
      <c r="C831" s="70"/>
      <c r="D831" s="8"/>
      <c r="E831" s="8"/>
      <c r="I831" s="8"/>
      <c r="J831" s="8"/>
    </row>
    <row r="832" spans="1:10" x14ac:dyDescent="0.2">
      <c r="A832" s="82"/>
      <c r="B832" s="70"/>
      <c r="C832" s="70"/>
      <c r="D832" s="8"/>
      <c r="E832" s="8"/>
      <c r="I832" s="8"/>
      <c r="J832" s="8"/>
    </row>
    <row r="833" spans="1:10" x14ac:dyDescent="0.2">
      <c r="A833" s="82"/>
      <c r="B833" s="70"/>
      <c r="C833" s="70"/>
      <c r="D833" s="8"/>
      <c r="E833" s="8"/>
      <c r="I833" s="8"/>
      <c r="J833" s="8"/>
    </row>
    <row r="834" spans="1:10" x14ac:dyDescent="0.2">
      <c r="A834" s="82"/>
      <c r="B834" s="70"/>
      <c r="C834" s="70"/>
      <c r="D834" s="8"/>
      <c r="E834" s="8"/>
      <c r="I834" s="8"/>
      <c r="J834" s="8"/>
    </row>
    <row r="835" spans="1:10" x14ac:dyDescent="0.2">
      <c r="A835" s="82"/>
      <c r="B835" s="70"/>
      <c r="C835" s="70"/>
      <c r="D835" s="8"/>
      <c r="E835" s="8"/>
      <c r="I835" s="8"/>
      <c r="J835" s="8"/>
    </row>
    <row r="836" spans="1:10" x14ac:dyDescent="0.2">
      <c r="A836" s="82"/>
      <c r="B836" s="70"/>
      <c r="C836" s="70"/>
      <c r="D836" s="8"/>
      <c r="E836" s="8"/>
      <c r="I836" s="8"/>
      <c r="J836" s="8"/>
    </row>
    <row r="837" spans="1:10" x14ac:dyDescent="0.2">
      <c r="A837" s="82"/>
      <c r="B837" s="70"/>
      <c r="C837" s="70"/>
      <c r="D837" s="8"/>
      <c r="E837" s="8"/>
      <c r="I837" s="8"/>
      <c r="J837" s="8"/>
    </row>
    <row r="838" spans="1:10" x14ac:dyDescent="0.2">
      <c r="A838" s="82"/>
      <c r="B838" s="70"/>
      <c r="C838" s="70"/>
      <c r="D838" s="8"/>
      <c r="E838" s="8"/>
      <c r="I838" s="8"/>
      <c r="J838" s="8"/>
    </row>
    <row r="839" spans="1:10" x14ac:dyDescent="0.2">
      <c r="A839" s="82"/>
      <c r="B839" s="70"/>
      <c r="C839" s="70"/>
      <c r="D839" s="8"/>
      <c r="E839" s="8"/>
      <c r="I839" s="8"/>
      <c r="J839" s="8"/>
    </row>
    <row r="840" spans="1:10" x14ac:dyDescent="0.2">
      <c r="A840" s="82"/>
      <c r="B840" s="70"/>
      <c r="C840" s="70"/>
      <c r="D840" s="8"/>
      <c r="E840" s="8"/>
      <c r="I840" s="8"/>
      <c r="J840" s="8"/>
    </row>
    <row r="841" spans="1:10" x14ac:dyDescent="0.2">
      <c r="A841" s="82"/>
      <c r="B841" s="70"/>
      <c r="C841" s="70"/>
      <c r="D841" s="8"/>
      <c r="E841" s="8"/>
      <c r="I841" s="8"/>
      <c r="J841" s="8"/>
    </row>
    <row r="842" spans="1:10" x14ac:dyDescent="0.2">
      <c r="A842" s="82"/>
      <c r="B842" s="70"/>
      <c r="C842" s="70"/>
      <c r="D842" s="8"/>
      <c r="E842" s="8"/>
      <c r="I842" s="8"/>
      <c r="J842" s="8"/>
    </row>
    <row r="843" spans="1:10" x14ac:dyDescent="0.2">
      <c r="A843" s="82"/>
      <c r="B843" s="70"/>
      <c r="C843" s="70"/>
      <c r="D843" s="8"/>
      <c r="E843" s="8"/>
      <c r="I843" s="8"/>
      <c r="J843" s="8"/>
    </row>
    <row r="844" spans="1:10" x14ac:dyDescent="0.2">
      <c r="A844" s="82"/>
      <c r="B844" s="70"/>
      <c r="C844" s="70"/>
      <c r="D844" s="8"/>
      <c r="E844" s="8"/>
      <c r="I844" s="8"/>
      <c r="J844" s="8"/>
    </row>
    <row r="845" spans="1:10" x14ac:dyDescent="0.2">
      <c r="A845" s="82"/>
      <c r="B845" s="70"/>
      <c r="C845" s="70"/>
      <c r="D845" s="8"/>
      <c r="E845" s="8"/>
      <c r="I845" s="8"/>
      <c r="J845" s="8"/>
    </row>
    <row r="846" spans="1:10" x14ac:dyDescent="0.2">
      <c r="A846" s="82"/>
      <c r="B846" s="70"/>
      <c r="C846" s="70"/>
      <c r="D846" s="8"/>
      <c r="E846" s="8"/>
      <c r="I846" s="8"/>
      <c r="J846" s="8"/>
    </row>
    <row r="847" spans="1:10" x14ac:dyDescent="0.2">
      <c r="A847" s="82"/>
      <c r="B847" s="70"/>
      <c r="C847" s="70"/>
      <c r="D847" s="8"/>
      <c r="E847" s="8"/>
      <c r="I847" s="8"/>
      <c r="J847" s="8"/>
    </row>
    <row r="848" spans="1:10" x14ac:dyDescent="0.2">
      <c r="A848" s="82"/>
      <c r="B848" s="70"/>
      <c r="C848" s="70"/>
      <c r="D848" s="8"/>
      <c r="E848" s="8"/>
      <c r="I848" s="8"/>
      <c r="J848" s="8"/>
    </row>
    <row r="849" spans="1:10" x14ac:dyDescent="0.2">
      <c r="A849" s="82"/>
      <c r="B849" s="70"/>
      <c r="C849" s="70"/>
      <c r="D849" s="8"/>
      <c r="E849" s="8"/>
      <c r="I849" s="8"/>
      <c r="J849" s="8"/>
    </row>
    <row r="850" spans="1:10" x14ac:dyDescent="0.2">
      <c r="A850" s="82"/>
      <c r="B850" s="70"/>
      <c r="C850" s="70"/>
      <c r="D850" s="8"/>
      <c r="E850" s="8"/>
      <c r="I850" s="8"/>
      <c r="J850" s="8"/>
    </row>
    <row r="851" spans="1:10" x14ac:dyDescent="0.2">
      <c r="A851" s="82"/>
      <c r="B851" s="70"/>
      <c r="C851" s="70"/>
      <c r="D851" s="8"/>
      <c r="E851" s="8"/>
      <c r="I851" s="8"/>
      <c r="J851" s="8"/>
    </row>
    <row r="852" spans="1:10" x14ac:dyDescent="0.2">
      <c r="A852" s="82"/>
      <c r="B852" s="70"/>
      <c r="C852" s="70"/>
      <c r="D852" s="8"/>
      <c r="E852" s="8"/>
      <c r="I852" s="8"/>
      <c r="J852" s="8"/>
    </row>
    <row r="853" spans="1:10" x14ac:dyDescent="0.2">
      <c r="A853" s="82"/>
      <c r="B853" s="70"/>
      <c r="C853" s="70"/>
      <c r="D853" s="8"/>
      <c r="E853" s="8"/>
      <c r="I853" s="8"/>
      <c r="J853" s="8"/>
    </row>
    <row r="854" spans="1:10" x14ac:dyDescent="0.2">
      <c r="A854" s="82"/>
      <c r="B854" s="70"/>
      <c r="C854" s="70"/>
      <c r="D854" s="8"/>
      <c r="E854" s="8"/>
      <c r="I854" s="8"/>
      <c r="J854" s="8"/>
    </row>
    <row r="855" spans="1:10" x14ac:dyDescent="0.2">
      <c r="A855" s="82"/>
      <c r="B855" s="70"/>
      <c r="C855" s="70"/>
      <c r="D855" s="8"/>
      <c r="E855" s="8"/>
      <c r="I855" s="8"/>
      <c r="J855" s="8"/>
    </row>
    <row r="856" spans="1:10" x14ac:dyDescent="0.2">
      <c r="A856" s="82"/>
      <c r="B856" s="70"/>
      <c r="C856" s="70"/>
      <c r="D856" s="8"/>
      <c r="E856" s="8"/>
      <c r="I856" s="8"/>
      <c r="J856" s="8"/>
    </row>
    <row r="857" spans="1:10" x14ac:dyDescent="0.2">
      <c r="A857" s="82"/>
      <c r="B857" s="70"/>
      <c r="C857" s="70"/>
      <c r="D857" s="8"/>
      <c r="E857" s="8"/>
      <c r="I857" s="8"/>
      <c r="J857" s="8"/>
    </row>
    <row r="858" spans="1:10" x14ac:dyDescent="0.2">
      <c r="A858" s="82"/>
      <c r="B858" s="70"/>
      <c r="C858" s="70"/>
      <c r="D858" s="8"/>
      <c r="E858" s="8"/>
      <c r="I858" s="8"/>
      <c r="J858" s="8"/>
    </row>
    <row r="859" spans="1:10" x14ac:dyDescent="0.2">
      <c r="A859" s="82"/>
      <c r="B859" s="70"/>
      <c r="C859" s="70"/>
      <c r="D859" s="8"/>
      <c r="E859" s="8"/>
      <c r="I859" s="8"/>
      <c r="J859" s="8"/>
    </row>
    <row r="860" spans="1:10" x14ac:dyDescent="0.2">
      <c r="A860" s="82"/>
      <c r="B860" s="70"/>
      <c r="C860" s="70"/>
      <c r="D860" s="8"/>
      <c r="E860" s="8"/>
      <c r="I860" s="8"/>
      <c r="J860" s="8"/>
    </row>
    <row r="861" spans="1:10" x14ac:dyDescent="0.2">
      <c r="A861" s="82"/>
      <c r="B861" s="70"/>
      <c r="C861" s="70"/>
      <c r="D861" s="8"/>
      <c r="E861" s="8"/>
      <c r="I861" s="8"/>
      <c r="J861" s="8"/>
    </row>
    <row r="862" spans="1:10" x14ac:dyDescent="0.2">
      <c r="A862" s="82"/>
      <c r="B862" s="70"/>
      <c r="C862" s="70"/>
      <c r="D862" s="8"/>
      <c r="E862" s="8"/>
      <c r="I862" s="8"/>
      <c r="J862" s="8"/>
    </row>
    <row r="863" spans="1:10" x14ac:dyDescent="0.2">
      <c r="A863" s="82"/>
      <c r="B863" s="70"/>
      <c r="C863" s="70"/>
      <c r="D863" s="8"/>
      <c r="E863" s="8"/>
      <c r="I863" s="8"/>
      <c r="J863" s="8"/>
    </row>
    <row r="864" spans="1:10" x14ac:dyDescent="0.2">
      <c r="A864" s="82"/>
      <c r="B864" s="70"/>
      <c r="C864" s="70"/>
      <c r="D864" s="8"/>
      <c r="E864" s="8"/>
      <c r="I864" s="8"/>
      <c r="J864" s="8"/>
    </row>
    <row r="865" spans="1:10" x14ac:dyDescent="0.2">
      <c r="A865" s="82"/>
      <c r="B865" s="70"/>
      <c r="C865" s="70"/>
      <c r="D865" s="8"/>
      <c r="E865" s="8"/>
      <c r="I865" s="8"/>
      <c r="J865" s="8"/>
    </row>
    <row r="866" spans="1:10" x14ac:dyDescent="0.2">
      <c r="A866" s="82"/>
      <c r="B866" s="70"/>
      <c r="C866" s="70"/>
      <c r="D866" s="8"/>
      <c r="E866" s="8"/>
      <c r="I866" s="8"/>
      <c r="J866" s="8"/>
    </row>
    <row r="867" spans="1:10" x14ac:dyDescent="0.2">
      <c r="A867" s="82"/>
      <c r="B867" s="70"/>
      <c r="C867" s="70"/>
      <c r="D867" s="8"/>
      <c r="E867" s="8"/>
      <c r="I867" s="8"/>
      <c r="J867" s="8"/>
    </row>
    <row r="868" spans="1:10" x14ac:dyDescent="0.2">
      <c r="A868" s="82"/>
      <c r="B868" s="70"/>
      <c r="C868" s="70"/>
      <c r="D868" s="8"/>
      <c r="E868" s="8"/>
      <c r="I868" s="8"/>
      <c r="J868" s="8"/>
    </row>
    <row r="869" spans="1:10" x14ac:dyDescent="0.2">
      <c r="A869" s="82"/>
      <c r="B869" s="70"/>
      <c r="C869" s="70"/>
      <c r="D869" s="8"/>
      <c r="E869" s="8"/>
      <c r="I869" s="8"/>
      <c r="J869" s="8"/>
    </row>
    <row r="870" spans="1:10" x14ac:dyDescent="0.2">
      <c r="A870" s="82"/>
      <c r="B870" s="70"/>
      <c r="C870" s="70"/>
      <c r="D870" s="8"/>
      <c r="E870" s="8"/>
      <c r="I870" s="8"/>
      <c r="J870" s="8"/>
    </row>
    <row r="871" spans="1:10" x14ac:dyDescent="0.2">
      <c r="A871" s="82"/>
      <c r="B871" s="70"/>
      <c r="C871" s="70"/>
      <c r="D871" s="8"/>
      <c r="E871" s="8"/>
      <c r="I871" s="8"/>
      <c r="J871" s="8"/>
    </row>
    <row r="872" spans="1:10" x14ac:dyDescent="0.2">
      <c r="A872" s="82"/>
      <c r="B872" s="70"/>
      <c r="C872" s="70"/>
      <c r="D872" s="8"/>
      <c r="E872" s="8"/>
      <c r="I872" s="8"/>
      <c r="J872" s="8"/>
    </row>
    <row r="873" spans="1:10" x14ac:dyDescent="0.2">
      <c r="A873" s="82"/>
      <c r="B873" s="70"/>
      <c r="C873" s="70"/>
      <c r="D873" s="8"/>
      <c r="E873" s="8"/>
      <c r="I873" s="8"/>
      <c r="J873" s="8"/>
    </row>
    <row r="874" spans="1:10" x14ac:dyDescent="0.2">
      <c r="A874" s="82"/>
      <c r="B874" s="70"/>
      <c r="C874" s="70"/>
      <c r="D874" s="8"/>
      <c r="E874" s="8"/>
      <c r="I874" s="8"/>
      <c r="J874" s="8"/>
    </row>
    <row r="875" spans="1:10" x14ac:dyDescent="0.2">
      <c r="A875" s="82"/>
      <c r="B875" s="70"/>
      <c r="C875" s="70"/>
      <c r="D875" s="8"/>
      <c r="E875" s="8"/>
      <c r="I875" s="8"/>
      <c r="J875" s="8"/>
    </row>
    <row r="876" spans="1:10" x14ac:dyDescent="0.2">
      <c r="A876" s="82"/>
      <c r="B876" s="70"/>
      <c r="C876" s="70"/>
      <c r="D876" s="8"/>
      <c r="E876" s="8"/>
      <c r="I876" s="8"/>
      <c r="J876" s="8"/>
    </row>
    <row r="877" spans="1:10" x14ac:dyDescent="0.2">
      <c r="A877" s="82"/>
      <c r="B877" s="70"/>
      <c r="C877" s="70"/>
      <c r="D877" s="8"/>
      <c r="E877" s="8"/>
      <c r="I877" s="8"/>
      <c r="J877" s="8"/>
    </row>
    <row r="878" spans="1:10" x14ac:dyDescent="0.2">
      <c r="A878" s="82"/>
      <c r="B878" s="70"/>
      <c r="C878" s="70"/>
      <c r="D878" s="8"/>
      <c r="E878" s="8"/>
      <c r="I878" s="8"/>
      <c r="J878" s="8"/>
    </row>
    <row r="879" spans="1:10" x14ac:dyDescent="0.2">
      <c r="A879" s="82"/>
      <c r="B879" s="70"/>
      <c r="C879" s="70"/>
      <c r="D879" s="8"/>
      <c r="E879" s="8"/>
      <c r="I879" s="8"/>
      <c r="J879" s="8"/>
    </row>
    <row r="880" spans="1:10" x14ac:dyDescent="0.2">
      <c r="A880" s="82"/>
      <c r="B880" s="70"/>
      <c r="C880" s="70"/>
      <c r="D880" s="8"/>
      <c r="E880" s="8"/>
      <c r="I880" s="8"/>
      <c r="J880" s="8"/>
    </row>
    <row r="881" spans="1:10" x14ac:dyDescent="0.2">
      <c r="A881" s="82"/>
      <c r="B881" s="70"/>
      <c r="C881" s="70"/>
      <c r="D881" s="8"/>
      <c r="E881" s="8"/>
      <c r="I881" s="8"/>
      <c r="J881" s="8"/>
    </row>
    <row r="882" spans="1:10" x14ac:dyDescent="0.2">
      <c r="A882" s="82"/>
      <c r="B882" s="70"/>
      <c r="C882" s="70"/>
      <c r="D882" s="8"/>
      <c r="E882" s="8"/>
      <c r="I882" s="8"/>
      <c r="J882" s="8"/>
    </row>
    <row r="883" spans="1:10" x14ac:dyDescent="0.2">
      <c r="A883" s="82"/>
      <c r="B883" s="70"/>
      <c r="C883" s="70"/>
      <c r="D883" s="8"/>
      <c r="E883" s="8"/>
      <c r="I883" s="8"/>
      <c r="J883" s="8"/>
    </row>
    <row r="884" spans="1:10" x14ac:dyDescent="0.2">
      <c r="A884" s="82"/>
      <c r="B884" s="70"/>
      <c r="C884" s="70"/>
      <c r="D884" s="8"/>
      <c r="E884" s="8"/>
      <c r="I884" s="8"/>
      <c r="J884" s="8"/>
    </row>
    <row r="885" spans="1:10" x14ac:dyDescent="0.2">
      <c r="A885" s="82"/>
      <c r="B885" s="70"/>
      <c r="C885" s="70"/>
      <c r="D885" s="8"/>
      <c r="E885" s="8"/>
      <c r="I885" s="8"/>
      <c r="J885" s="8"/>
    </row>
    <row r="886" spans="1:10" x14ac:dyDescent="0.2">
      <c r="A886" s="82"/>
      <c r="B886" s="70"/>
      <c r="C886" s="70"/>
      <c r="D886" s="8"/>
      <c r="E886" s="8"/>
      <c r="I886" s="8"/>
      <c r="J886" s="8"/>
    </row>
    <row r="887" spans="1:10" x14ac:dyDescent="0.2">
      <c r="A887" s="82"/>
      <c r="B887" s="70"/>
      <c r="C887" s="70"/>
      <c r="D887" s="8"/>
      <c r="E887" s="8"/>
      <c r="I887" s="8"/>
      <c r="J887" s="8"/>
    </row>
    <row r="888" spans="1:10" x14ac:dyDescent="0.2">
      <c r="A888" s="82"/>
      <c r="B888" s="70"/>
      <c r="C888" s="70"/>
      <c r="D888" s="8"/>
      <c r="E888" s="8"/>
      <c r="I888" s="8"/>
      <c r="J888" s="8"/>
    </row>
    <row r="889" spans="1:10" x14ac:dyDescent="0.2">
      <c r="A889" s="82"/>
      <c r="B889" s="70"/>
      <c r="C889" s="70"/>
      <c r="D889" s="8"/>
      <c r="E889" s="8"/>
      <c r="I889" s="8"/>
      <c r="J889" s="8"/>
    </row>
    <row r="890" spans="1:10" x14ac:dyDescent="0.2">
      <c r="A890" s="82"/>
      <c r="B890" s="70"/>
      <c r="C890" s="70"/>
      <c r="D890" s="8"/>
      <c r="E890" s="8"/>
      <c r="I890" s="8"/>
      <c r="J890" s="8"/>
    </row>
    <row r="891" spans="1:10" x14ac:dyDescent="0.2">
      <c r="A891" s="82"/>
      <c r="B891" s="70"/>
      <c r="C891" s="70"/>
      <c r="D891" s="8"/>
      <c r="E891" s="8"/>
      <c r="I891" s="8"/>
      <c r="J891" s="8"/>
    </row>
    <row r="892" spans="1:10" x14ac:dyDescent="0.2">
      <c r="A892" s="82"/>
      <c r="B892" s="70"/>
      <c r="C892" s="70"/>
      <c r="D892" s="8"/>
      <c r="E892" s="8"/>
      <c r="I892" s="8"/>
      <c r="J892" s="8"/>
    </row>
    <row r="893" spans="1:10" x14ac:dyDescent="0.2">
      <c r="A893" s="82"/>
      <c r="B893" s="70"/>
      <c r="C893" s="70"/>
      <c r="D893" s="8"/>
      <c r="E893" s="8"/>
      <c r="I893" s="8"/>
      <c r="J893" s="8"/>
    </row>
    <row r="894" spans="1:10" x14ac:dyDescent="0.2">
      <c r="A894" s="82"/>
      <c r="B894" s="70"/>
      <c r="C894" s="70"/>
      <c r="D894" s="8"/>
      <c r="E894" s="8"/>
      <c r="I894" s="8"/>
      <c r="J894" s="8"/>
    </row>
    <row r="895" spans="1:10" x14ac:dyDescent="0.2">
      <c r="A895" s="82"/>
      <c r="B895" s="70"/>
      <c r="C895" s="70"/>
      <c r="D895" s="8"/>
      <c r="E895" s="8"/>
      <c r="I895" s="8"/>
      <c r="J895" s="8"/>
    </row>
    <row r="896" spans="1:10" x14ac:dyDescent="0.2">
      <c r="A896" s="82"/>
      <c r="B896" s="70"/>
      <c r="C896" s="70"/>
      <c r="D896" s="8"/>
      <c r="E896" s="8"/>
      <c r="I896" s="8"/>
      <c r="J896" s="8"/>
    </row>
    <row r="897" spans="1:10" x14ac:dyDescent="0.2">
      <c r="A897" s="82"/>
      <c r="B897" s="70"/>
      <c r="C897" s="70"/>
      <c r="D897" s="8"/>
      <c r="E897" s="8"/>
      <c r="I897" s="8"/>
      <c r="J897" s="8"/>
    </row>
    <row r="898" spans="1:10" x14ac:dyDescent="0.2">
      <c r="A898" s="82"/>
      <c r="B898" s="70"/>
      <c r="C898" s="70"/>
      <c r="D898" s="8"/>
      <c r="E898" s="8"/>
      <c r="I898" s="8"/>
      <c r="J898" s="8"/>
    </row>
    <row r="899" spans="1:10" x14ac:dyDescent="0.2">
      <c r="A899" s="82"/>
      <c r="B899" s="70"/>
      <c r="C899" s="70"/>
      <c r="D899" s="8"/>
      <c r="E899" s="8"/>
      <c r="I899" s="8"/>
      <c r="J899" s="8"/>
    </row>
    <row r="900" spans="1:10" x14ac:dyDescent="0.2">
      <c r="A900" s="82"/>
      <c r="B900" s="70"/>
      <c r="C900" s="70"/>
      <c r="D900" s="8"/>
      <c r="E900" s="8"/>
      <c r="I900" s="8"/>
      <c r="J900" s="8"/>
    </row>
    <row r="901" spans="1:10" x14ac:dyDescent="0.2">
      <c r="A901" s="82"/>
      <c r="B901" s="70"/>
      <c r="C901" s="70"/>
      <c r="D901" s="8"/>
      <c r="E901" s="8"/>
      <c r="I901" s="8"/>
      <c r="J901" s="8"/>
    </row>
    <row r="902" spans="1:10" x14ac:dyDescent="0.2">
      <c r="A902" s="82"/>
      <c r="B902" s="70"/>
      <c r="C902" s="70"/>
      <c r="D902" s="8"/>
      <c r="E902" s="8"/>
      <c r="I902" s="8"/>
      <c r="J902" s="8"/>
    </row>
    <row r="903" spans="1:10" x14ac:dyDescent="0.2">
      <c r="A903" s="82"/>
      <c r="B903" s="70"/>
      <c r="C903" s="70"/>
      <c r="D903" s="8"/>
      <c r="E903" s="8"/>
      <c r="I903" s="8"/>
      <c r="J903" s="8"/>
    </row>
    <row r="904" spans="1:10" x14ac:dyDescent="0.2">
      <c r="A904" s="82"/>
      <c r="B904" s="70"/>
      <c r="C904" s="70"/>
      <c r="D904" s="8"/>
      <c r="E904" s="8"/>
      <c r="I904" s="8"/>
      <c r="J904" s="8"/>
    </row>
    <row r="905" spans="1:10" x14ac:dyDescent="0.2">
      <c r="A905" s="82"/>
      <c r="B905" s="70"/>
      <c r="C905" s="70"/>
      <c r="D905" s="8"/>
      <c r="E905" s="8"/>
      <c r="I905" s="8"/>
      <c r="J905" s="8"/>
    </row>
    <row r="906" spans="1:10" x14ac:dyDescent="0.2">
      <c r="A906" s="82"/>
      <c r="B906" s="70"/>
      <c r="C906" s="70"/>
      <c r="D906" s="8"/>
      <c r="E906" s="8"/>
      <c r="I906" s="8"/>
      <c r="J906" s="8"/>
    </row>
    <row r="907" spans="1:10" x14ac:dyDescent="0.2">
      <c r="A907" s="82"/>
      <c r="B907" s="70"/>
      <c r="C907" s="70"/>
      <c r="D907" s="8"/>
      <c r="E907" s="8"/>
      <c r="I907" s="8"/>
      <c r="J907" s="8"/>
    </row>
    <row r="908" spans="1:10" x14ac:dyDescent="0.2">
      <c r="A908" s="82"/>
      <c r="B908" s="70"/>
      <c r="C908" s="70"/>
      <c r="D908" s="8"/>
      <c r="E908" s="8"/>
      <c r="I908" s="8"/>
      <c r="J908" s="8"/>
    </row>
    <row r="909" spans="1:10" x14ac:dyDescent="0.2">
      <c r="A909" s="82"/>
      <c r="B909" s="70"/>
      <c r="C909" s="70"/>
      <c r="D909" s="8"/>
      <c r="E909" s="8"/>
      <c r="I909" s="8"/>
      <c r="J909" s="8"/>
    </row>
    <row r="910" spans="1:10" x14ac:dyDescent="0.2">
      <c r="A910" s="82"/>
      <c r="B910" s="70"/>
      <c r="C910" s="70"/>
      <c r="D910" s="8"/>
      <c r="E910" s="8"/>
      <c r="I910" s="8"/>
      <c r="J910" s="8"/>
    </row>
    <row r="911" spans="1:10" x14ac:dyDescent="0.2">
      <c r="A911" s="82"/>
      <c r="B911" s="70"/>
      <c r="C911" s="70"/>
      <c r="D911" s="8"/>
      <c r="E911" s="8"/>
      <c r="I911" s="8"/>
      <c r="J911" s="8"/>
    </row>
    <row r="912" spans="1:10" x14ac:dyDescent="0.2">
      <c r="A912" s="82"/>
      <c r="B912" s="70"/>
      <c r="C912" s="70"/>
      <c r="D912" s="8"/>
      <c r="E912" s="8"/>
      <c r="I912" s="8"/>
      <c r="J912" s="8"/>
    </row>
    <row r="913" spans="1:10" x14ac:dyDescent="0.2">
      <c r="A913" s="82"/>
      <c r="B913" s="70"/>
      <c r="C913" s="70"/>
      <c r="D913" s="8"/>
      <c r="E913" s="8"/>
      <c r="I913" s="8"/>
      <c r="J913" s="8"/>
    </row>
    <row r="914" spans="1:10" x14ac:dyDescent="0.2">
      <c r="A914" s="82"/>
      <c r="B914" s="70"/>
      <c r="C914" s="70"/>
      <c r="D914" s="8"/>
      <c r="E914" s="8"/>
      <c r="I914" s="8"/>
      <c r="J914" s="8"/>
    </row>
    <row r="915" spans="1:10" x14ac:dyDescent="0.2">
      <c r="A915" s="82"/>
      <c r="B915" s="70"/>
      <c r="C915" s="70"/>
      <c r="D915" s="8"/>
      <c r="E915" s="8"/>
      <c r="I915" s="8"/>
      <c r="J915" s="8"/>
    </row>
    <row r="916" spans="1:10" x14ac:dyDescent="0.2">
      <c r="A916" s="82"/>
      <c r="B916" s="70"/>
      <c r="C916" s="70"/>
      <c r="D916" s="8"/>
      <c r="E916" s="8"/>
      <c r="I916" s="8"/>
      <c r="J916" s="8"/>
    </row>
    <row r="917" spans="1:10" x14ac:dyDescent="0.2">
      <c r="A917" s="82"/>
      <c r="B917" s="70"/>
      <c r="C917" s="70"/>
      <c r="D917" s="8"/>
      <c r="E917" s="8"/>
      <c r="I917" s="8"/>
      <c r="J917" s="8"/>
    </row>
    <row r="918" spans="1:10" x14ac:dyDescent="0.2">
      <c r="A918" s="82"/>
      <c r="B918" s="70"/>
      <c r="C918" s="70"/>
      <c r="D918" s="8"/>
      <c r="E918" s="8"/>
      <c r="I918" s="8"/>
      <c r="J918" s="8"/>
    </row>
    <row r="919" spans="1:10" x14ac:dyDescent="0.2">
      <c r="A919" s="82"/>
      <c r="B919" s="70"/>
      <c r="C919" s="70"/>
      <c r="D919" s="8"/>
      <c r="E919" s="8"/>
      <c r="I919" s="8"/>
      <c r="J919" s="8"/>
    </row>
    <row r="920" spans="1:10" x14ac:dyDescent="0.2">
      <c r="A920" s="82"/>
      <c r="B920" s="70"/>
      <c r="C920" s="70"/>
      <c r="D920" s="8"/>
      <c r="E920" s="8"/>
      <c r="I920" s="8"/>
      <c r="J920" s="8"/>
    </row>
    <row r="921" spans="1:10" x14ac:dyDescent="0.2">
      <c r="A921" s="82"/>
      <c r="B921" s="70"/>
      <c r="C921" s="70"/>
      <c r="D921" s="8"/>
      <c r="E921" s="8"/>
      <c r="I921" s="8"/>
      <c r="J921" s="8"/>
    </row>
    <row r="922" spans="1:10" x14ac:dyDescent="0.2">
      <c r="A922" s="82"/>
      <c r="B922" s="70"/>
      <c r="C922" s="70"/>
      <c r="D922" s="8"/>
      <c r="E922" s="8"/>
      <c r="I922" s="8"/>
      <c r="J922" s="8"/>
    </row>
    <row r="923" spans="1:10" x14ac:dyDescent="0.2">
      <c r="A923" s="82"/>
      <c r="B923" s="70"/>
      <c r="C923" s="70"/>
      <c r="D923" s="8"/>
      <c r="E923" s="8"/>
      <c r="I923" s="8"/>
      <c r="J923" s="8"/>
    </row>
    <row r="924" spans="1:10" x14ac:dyDescent="0.2">
      <c r="A924" s="82"/>
      <c r="B924" s="70"/>
      <c r="C924" s="70"/>
      <c r="D924" s="8"/>
      <c r="E924" s="8"/>
      <c r="I924" s="8"/>
      <c r="J924" s="8"/>
    </row>
    <row r="925" spans="1:10" x14ac:dyDescent="0.2">
      <c r="A925" s="82"/>
      <c r="B925" s="70"/>
      <c r="C925" s="70"/>
      <c r="D925" s="8"/>
      <c r="E925" s="8"/>
      <c r="I925" s="8"/>
      <c r="J925" s="8"/>
    </row>
    <row r="926" spans="1:10" x14ac:dyDescent="0.2">
      <c r="A926" s="82"/>
      <c r="B926" s="70"/>
      <c r="C926" s="70"/>
      <c r="D926" s="8"/>
      <c r="E926" s="8"/>
      <c r="I926" s="8"/>
      <c r="J926" s="8"/>
    </row>
    <row r="927" spans="1:10" x14ac:dyDescent="0.2">
      <c r="A927" s="82"/>
      <c r="B927" s="70"/>
      <c r="C927" s="70"/>
      <c r="D927" s="8"/>
      <c r="E927" s="8"/>
      <c r="I927" s="8"/>
      <c r="J927" s="8"/>
    </row>
    <row r="928" spans="1:10" x14ac:dyDescent="0.2">
      <c r="A928" s="82"/>
      <c r="B928" s="70"/>
      <c r="C928" s="70"/>
      <c r="D928" s="8"/>
      <c r="E928" s="8"/>
      <c r="I928" s="8"/>
      <c r="J928" s="8"/>
    </row>
    <row r="929" spans="1:10" x14ac:dyDescent="0.2">
      <c r="A929" s="82"/>
      <c r="B929" s="70"/>
      <c r="C929" s="70"/>
      <c r="D929" s="8"/>
      <c r="E929" s="8"/>
      <c r="I929" s="8"/>
      <c r="J929" s="8"/>
    </row>
    <row r="930" spans="1:10" x14ac:dyDescent="0.2">
      <c r="A930" s="82"/>
      <c r="B930" s="70"/>
      <c r="C930" s="70"/>
      <c r="D930" s="8"/>
      <c r="E930" s="8"/>
      <c r="I930" s="8"/>
      <c r="J930" s="8"/>
    </row>
    <row r="931" spans="1:10" x14ac:dyDescent="0.2">
      <c r="A931" s="82"/>
      <c r="B931" s="70"/>
      <c r="C931" s="70"/>
      <c r="D931" s="8"/>
      <c r="E931" s="8"/>
      <c r="I931" s="8"/>
      <c r="J931" s="8"/>
    </row>
    <row r="932" spans="1:10" x14ac:dyDescent="0.2">
      <c r="A932" s="82"/>
      <c r="B932" s="70"/>
      <c r="C932" s="70"/>
      <c r="D932" s="8"/>
      <c r="E932" s="8"/>
      <c r="I932" s="8"/>
      <c r="J932" s="8"/>
    </row>
    <row r="933" spans="1:10" x14ac:dyDescent="0.2">
      <c r="A933" s="82"/>
      <c r="B933" s="70"/>
      <c r="C933" s="70"/>
      <c r="D933" s="8"/>
      <c r="E933" s="8"/>
      <c r="I933" s="8"/>
      <c r="J933" s="8"/>
    </row>
    <row r="934" spans="1:10" x14ac:dyDescent="0.2">
      <c r="A934" s="82"/>
      <c r="B934" s="70"/>
      <c r="C934" s="70"/>
      <c r="D934" s="8"/>
      <c r="E934" s="8"/>
      <c r="I934" s="8"/>
      <c r="J934" s="8"/>
    </row>
    <row r="935" spans="1:10" x14ac:dyDescent="0.2">
      <c r="A935" s="82"/>
      <c r="B935" s="70"/>
      <c r="C935" s="70"/>
      <c r="D935" s="8"/>
      <c r="E935" s="8"/>
      <c r="I935" s="8"/>
      <c r="J935" s="8"/>
    </row>
    <row r="936" spans="1:10" x14ac:dyDescent="0.2">
      <c r="A936" s="82"/>
      <c r="B936" s="70"/>
      <c r="C936" s="70"/>
      <c r="D936" s="8"/>
      <c r="E936" s="8"/>
      <c r="I936" s="8"/>
      <c r="J936" s="8"/>
    </row>
    <row r="937" spans="1:10" x14ac:dyDescent="0.2">
      <c r="A937" s="82"/>
      <c r="B937" s="70"/>
      <c r="C937" s="70"/>
      <c r="D937" s="8"/>
      <c r="E937" s="8"/>
      <c r="I937" s="8"/>
      <c r="J937" s="8"/>
    </row>
    <row r="938" spans="1:10" x14ac:dyDescent="0.2">
      <c r="A938" s="82"/>
      <c r="B938" s="70"/>
      <c r="C938" s="70"/>
      <c r="D938" s="8"/>
      <c r="E938" s="8"/>
      <c r="I938" s="8"/>
      <c r="J938" s="8"/>
    </row>
    <row r="939" spans="1:10" x14ac:dyDescent="0.2">
      <c r="A939" s="82"/>
      <c r="B939" s="70"/>
      <c r="C939" s="70"/>
      <c r="D939" s="8"/>
      <c r="E939" s="8"/>
      <c r="I939" s="8"/>
      <c r="J939" s="8"/>
    </row>
    <row r="940" spans="1:10" x14ac:dyDescent="0.2">
      <c r="A940" s="82"/>
      <c r="B940" s="70"/>
      <c r="C940" s="70"/>
      <c r="D940" s="8"/>
      <c r="E940" s="8"/>
      <c r="I940" s="8"/>
      <c r="J940" s="8"/>
    </row>
    <row r="941" spans="1:10" x14ac:dyDescent="0.2">
      <c r="A941" s="82"/>
      <c r="B941" s="70"/>
      <c r="C941" s="70"/>
      <c r="D941" s="8"/>
      <c r="E941" s="8"/>
      <c r="I941" s="8"/>
      <c r="J941" s="8"/>
    </row>
    <row r="942" spans="1:10" x14ac:dyDescent="0.2">
      <c r="A942" s="82"/>
      <c r="B942" s="70"/>
      <c r="C942" s="70"/>
      <c r="D942" s="8"/>
      <c r="E942" s="8"/>
      <c r="I942" s="8"/>
      <c r="J942" s="8"/>
    </row>
    <row r="943" spans="1:10" x14ac:dyDescent="0.2">
      <c r="A943" s="82"/>
      <c r="B943" s="70"/>
      <c r="C943" s="70"/>
      <c r="D943" s="8"/>
      <c r="E943" s="8"/>
      <c r="I943" s="8"/>
      <c r="J943" s="8"/>
    </row>
    <row r="944" spans="1:10" x14ac:dyDescent="0.2">
      <c r="A944" s="82"/>
      <c r="B944" s="70"/>
      <c r="C944" s="70"/>
      <c r="D944" s="8"/>
      <c r="E944" s="8"/>
      <c r="I944" s="8"/>
      <c r="J944" s="8"/>
    </row>
    <row r="945" spans="1:10" x14ac:dyDescent="0.2">
      <c r="A945" s="82"/>
      <c r="B945" s="70"/>
      <c r="C945" s="70"/>
      <c r="D945" s="8"/>
      <c r="E945" s="8"/>
      <c r="I945" s="8"/>
      <c r="J945" s="8"/>
    </row>
    <row r="946" spans="1:10" x14ac:dyDescent="0.2">
      <c r="A946" s="82"/>
      <c r="B946" s="70"/>
      <c r="C946" s="70"/>
      <c r="D946" s="8"/>
      <c r="E946" s="8"/>
      <c r="I946" s="8"/>
      <c r="J946" s="8"/>
    </row>
    <row r="947" spans="1:10" x14ac:dyDescent="0.2">
      <c r="A947" s="82"/>
      <c r="B947" s="70"/>
      <c r="C947" s="70"/>
      <c r="D947" s="8"/>
      <c r="E947" s="8"/>
      <c r="I947" s="8"/>
      <c r="J947" s="8"/>
    </row>
    <row r="948" spans="1:10" x14ac:dyDescent="0.2">
      <c r="A948" s="82"/>
      <c r="B948" s="70"/>
      <c r="C948" s="70"/>
      <c r="D948" s="8"/>
      <c r="E948" s="8"/>
      <c r="I948" s="8"/>
      <c r="J948" s="8"/>
    </row>
    <row r="949" spans="1:10" x14ac:dyDescent="0.2">
      <c r="A949" s="82"/>
      <c r="B949" s="70"/>
      <c r="C949" s="70"/>
      <c r="D949" s="8"/>
      <c r="E949" s="8"/>
      <c r="I949" s="8"/>
      <c r="J949" s="8"/>
    </row>
    <row r="950" spans="1:10" x14ac:dyDescent="0.2">
      <c r="A950" s="82"/>
      <c r="B950" s="70"/>
      <c r="C950" s="70"/>
      <c r="D950" s="8"/>
      <c r="E950" s="8"/>
      <c r="I950" s="8"/>
      <c r="J950" s="8"/>
    </row>
    <row r="951" spans="1:10" x14ac:dyDescent="0.2">
      <c r="A951" s="82"/>
      <c r="B951" s="70"/>
      <c r="C951" s="70"/>
      <c r="D951" s="8"/>
      <c r="E951" s="8"/>
      <c r="I951" s="8"/>
      <c r="J951" s="8"/>
    </row>
    <row r="952" spans="1:10" x14ac:dyDescent="0.2">
      <c r="A952" s="82"/>
      <c r="B952" s="70"/>
      <c r="C952" s="70"/>
      <c r="D952" s="8"/>
      <c r="E952" s="8"/>
      <c r="I952" s="8"/>
      <c r="J952" s="8"/>
    </row>
    <row r="953" spans="1:10" x14ac:dyDescent="0.2">
      <c r="A953" s="82"/>
      <c r="B953" s="70"/>
      <c r="C953" s="70"/>
      <c r="D953" s="8"/>
      <c r="E953" s="8"/>
      <c r="I953" s="8"/>
      <c r="J953" s="8"/>
    </row>
    <row r="954" spans="1:10" x14ac:dyDescent="0.2">
      <c r="A954" s="82"/>
      <c r="B954" s="70"/>
      <c r="C954" s="70"/>
      <c r="D954" s="8"/>
      <c r="E954" s="8"/>
      <c r="I954" s="8"/>
      <c r="J954" s="8"/>
    </row>
    <row r="955" spans="1:10" x14ac:dyDescent="0.2">
      <c r="A955" s="82"/>
      <c r="B955" s="70"/>
      <c r="C955" s="70"/>
      <c r="D955" s="8"/>
      <c r="E955" s="8"/>
      <c r="I955" s="8"/>
      <c r="J955" s="8"/>
    </row>
    <row r="956" spans="1:10" x14ac:dyDescent="0.2">
      <c r="A956" s="82"/>
      <c r="B956" s="70"/>
      <c r="C956" s="70"/>
      <c r="D956" s="8"/>
      <c r="E956" s="8"/>
      <c r="I956" s="8"/>
      <c r="J956" s="8"/>
    </row>
    <row r="957" spans="1:10" x14ac:dyDescent="0.2">
      <c r="A957" s="82"/>
      <c r="B957" s="70"/>
      <c r="C957" s="70"/>
      <c r="D957" s="8"/>
      <c r="E957" s="8"/>
      <c r="I957" s="8"/>
      <c r="J957" s="8"/>
    </row>
    <row r="958" spans="1:10" x14ac:dyDescent="0.2">
      <c r="A958" s="82"/>
      <c r="B958" s="70"/>
      <c r="C958" s="70"/>
      <c r="D958" s="8"/>
      <c r="E958" s="8"/>
      <c r="I958" s="8"/>
      <c r="J958" s="8"/>
    </row>
    <row r="959" spans="1:10" x14ac:dyDescent="0.2">
      <c r="A959" s="82"/>
      <c r="B959" s="70"/>
      <c r="C959" s="70"/>
      <c r="D959" s="8"/>
      <c r="E959" s="8"/>
      <c r="I959" s="8"/>
      <c r="J959" s="8"/>
    </row>
    <row r="960" spans="1:10" x14ac:dyDescent="0.2">
      <c r="A960" s="82"/>
      <c r="B960" s="70"/>
      <c r="C960" s="70"/>
      <c r="D960" s="8"/>
      <c r="E960" s="8"/>
      <c r="I960" s="8"/>
      <c r="J960" s="8"/>
    </row>
    <row r="961" spans="1:10" x14ac:dyDescent="0.2">
      <c r="A961" s="82"/>
      <c r="B961" s="70"/>
      <c r="C961" s="70"/>
      <c r="D961" s="8"/>
      <c r="E961" s="8"/>
      <c r="I961" s="8"/>
      <c r="J961" s="8"/>
    </row>
    <row r="962" spans="1:10" x14ac:dyDescent="0.2">
      <c r="A962" s="82"/>
      <c r="B962" s="70"/>
      <c r="C962" s="70"/>
      <c r="D962" s="8"/>
      <c r="E962" s="8"/>
      <c r="I962" s="8"/>
      <c r="J962" s="8"/>
    </row>
    <row r="963" spans="1:10" x14ac:dyDescent="0.2">
      <c r="A963" s="82"/>
      <c r="B963" s="70"/>
      <c r="C963" s="70"/>
      <c r="D963" s="8"/>
      <c r="E963" s="8"/>
      <c r="I963" s="8"/>
      <c r="J963" s="8"/>
    </row>
    <row r="964" spans="1:10" x14ac:dyDescent="0.2">
      <c r="A964" s="82"/>
      <c r="B964" s="70"/>
      <c r="C964" s="70"/>
      <c r="D964" s="8"/>
      <c r="E964" s="8"/>
      <c r="I964" s="8"/>
      <c r="J964" s="8"/>
    </row>
    <row r="965" spans="1:10" x14ac:dyDescent="0.2">
      <c r="A965" s="82"/>
      <c r="B965" s="70"/>
      <c r="C965" s="70"/>
      <c r="D965" s="8"/>
      <c r="E965" s="8"/>
      <c r="I965" s="8"/>
      <c r="J965" s="8"/>
    </row>
    <row r="966" spans="1:10" x14ac:dyDescent="0.2">
      <c r="A966" s="82"/>
      <c r="B966" s="70"/>
      <c r="C966" s="70"/>
      <c r="D966" s="8"/>
      <c r="E966" s="8"/>
      <c r="I966" s="8"/>
      <c r="J966" s="8"/>
    </row>
    <row r="967" spans="1:10" x14ac:dyDescent="0.2">
      <c r="A967" s="82"/>
      <c r="B967" s="70"/>
      <c r="C967" s="70"/>
      <c r="D967" s="8"/>
      <c r="E967" s="8"/>
      <c r="I967" s="8"/>
      <c r="J967" s="8"/>
    </row>
    <row r="968" spans="1:10" x14ac:dyDescent="0.2">
      <c r="A968" s="82"/>
      <c r="B968" s="70"/>
      <c r="C968" s="70"/>
      <c r="D968" s="8"/>
      <c r="E968" s="8"/>
      <c r="I968" s="8"/>
      <c r="J968" s="8"/>
    </row>
    <row r="969" spans="1:10" x14ac:dyDescent="0.2">
      <c r="A969" s="82"/>
      <c r="B969" s="70"/>
      <c r="C969" s="70"/>
      <c r="D969" s="8"/>
      <c r="E969" s="8"/>
      <c r="I969" s="8"/>
      <c r="J969" s="8"/>
    </row>
    <row r="970" spans="1:10" x14ac:dyDescent="0.2">
      <c r="A970" s="82"/>
      <c r="B970" s="70"/>
      <c r="C970" s="70"/>
      <c r="D970" s="8"/>
      <c r="E970" s="8"/>
      <c r="I970" s="8"/>
      <c r="J970" s="8"/>
    </row>
    <row r="971" spans="1:10" x14ac:dyDescent="0.2">
      <c r="A971" s="82"/>
      <c r="B971" s="70"/>
      <c r="C971" s="70"/>
      <c r="D971" s="8"/>
      <c r="E971" s="8"/>
      <c r="I971" s="8"/>
      <c r="J971" s="8"/>
    </row>
    <row r="972" spans="1:10" x14ac:dyDescent="0.2">
      <c r="A972" s="82"/>
      <c r="B972" s="70"/>
      <c r="C972" s="70"/>
      <c r="D972" s="8"/>
      <c r="E972" s="8"/>
      <c r="I972" s="8"/>
      <c r="J972" s="8"/>
    </row>
    <row r="973" spans="1:10" x14ac:dyDescent="0.2">
      <c r="A973" s="82"/>
      <c r="B973" s="70"/>
      <c r="C973" s="70"/>
      <c r="D973" s="8"/>
      <c r="E973" s="8"/>
      <c r="I973" s="8"/>
      <c r="J973" s="8"/>
    </row>
    <row r="974" spans="1:10" x14ac:dyDescent="0.2">
      <c r="A974" s="82"/>
      <c r="B974" s="70"/>
      <c r="C974" s="70"/>
      <c r="D974" s="8"/>
      <c r="E974" s="8"/>
      <c r="I974" s="8"/>
      <c r="J974" s="8"/>
    </row>
    <row r="975" spans="1:10" x14ac:dyDescent="0.2">
      <c r="A975" s="82"/>
      <c r="B975" s="70"/>
      <c r="C975" s="70"/>
      <c r="D975" s="8"/>
      <c r="E975" s="8"/>
      <c r="I975" s="8"/>
      <c r="J975" s="8"/>
    </row>
    <row r="976" spans="1:10" x14ac:dyDescent="0.2">
      <c r="A976" s="82"/>
      <c r="B976" s="70"/>
      <c r="C976" s="70"/>
      <c r="D976" s="8"/>
      <c r="E976" s="8"/>
      <c r="I976" s="8"/>
      <c r="J976" s="8"/>
    </row>
    <row r="977" spans="1:10" x14ac:dyDescent="0.2">
      <c r="A977" s="82"/>
      <c r="B977" s="70"/>
      <c r="C977" s="70"/>
      <c r="D977" s="8"/>
      <c r="E977" s="8"/>
      <c r="I977" s="8"/>
      <c r="J977" s="8"/>
    </row>
    <row r="978" spans="1:10" x14ac:dyDescent="0.2">
      <c r="A978" s="82"/>
      <c r="B978" s="70"/>
      <c r="C978" s="70"/>
      <c r="D978" s="8"/>
      <c r="E978" s="8"/>
      <c r="I978" s="8"/>
      <c r="J978" s="8"/>
    </row>
    <row r="979" spans="1:10" x14ac:dyDescent="0.2">
      <c r="A979" s="82"/>
      <c r="B979" s="70"/>
      <c r="C979" s="70"/>
      <c r="D979" s="8"/>
      <c r="E979" s="8"/>
      <c r="I979" s="8"/>
      <c r="J979" s="8"/>
    </row>
    <row r="980" spans="1:10" x14ac:dyDescent="0.2">
      <c r="A980" s="82"/>
      <c r="B980" s="70"/>
      <c r="C980" s="70"/>
      <c r="D980" s="8"/>
      <c r="E980" s="8"/>
      <c r="I980" s="8"/>
      <c r="J980" s="8"/>
    </row>
    <row r="981" spans="1:10" x14ac:dyDescent="0.2">
      <c r="A981" s="82"/>
      <c r="B981" s="70"/>
      <c r="C981" s="70"/>
      <c r="D981" s="8"/>
      <c r="E981" s="8"/>
      <c r="I981" s="8"/>
      <c r="J981" s="8"/>
    </row>
    <row r="982" spans="1:10" x14ac:dyDescent="0.2">
      <c r="A982" s="82"/>
      <c r="B982" s="70"/>
      <c r="C982" s="70"/>
      <c r="D982" s="8"/>
      <c r="E982" s="8"/>
      <c r="I982" s="8"/>
      <c r="J982" s="8"/>
    </row>
    <row r="983" spans="1:10" x14ac:dyDescent="0.2">
      <c r="A983" s="82"/>
      <c r="B983" s="70"/>
      <c r="C983" s="70"/>
      <c r="D983" s="8"/>
      <c r="E983" s="8"/>
      <c r="I983" s="8"/>
      <c r="J983" s="8"/>
    </row>
    <row r="984" spans="1:10" x14ac:dyDescent="0.2">
      <c r="A984" s="82"/>
      <c r="B984" s="70"/>
      <c r="C984" s="70"/>
      <c r="D984" s="8"/>
      <c r="E984" s="8"/>
      <c r="I984" s="8"/>
      <c r="J984" s="8"/>
    </row>
    <row r="985" spans="1:10" x14ac:dyDescent="0.2">
      <c r="A985" s="82"/>
      <c r="B985" s="70"/>
      <c r="C985" s="70"/>
      <c r="D985" s="8"/>
      <c r="E985" s="8"/>
      <c r="I985" s="8"/>
      <c r="J985" s="8"/>
    </row>
    <row r="986" spans="1:10" x14ac:dyDescent="0.2">
      <c r="A986" s="82"/>
      <c r="B986" s="70"/>
      <c r="C986" s="70"/>
      <c r="D986" s="8"/>
      <c r="E986" s="8"/>
      <c r="I986" s="8"/>
      <c r="J986" s="8"/>
    </row>
    <row r="987" spans="1:10" x14ac:dyDescent="0.2">
      <c r="A987" s="82"/>
      <c r="B987" s="70"/>
      <c r="C987" s="70"/>
      <c r="D987" s="8"/>
      <c r="E987" s="8"/>
      <c r="I987" s="8"/>
      <c r="J987" s="8"/>
    </row>
    <row r="988" spans="1:10" x14ac:dyDescent="0.2">
      <c r="A988" s="82"/>
      <c r="B988" s="70"/>
      <c r="C988" s="70"/>
      <c r="D988" s="8"/>
      <c r="E988" s="8"/>
      <c r="I988" s="8"/>
      <c r="J988" s="8"/>
    </row>
    <row r="989" spans="1:10" x14ac:dyDescent="0.2">
      <c r="A989" s="82"/>
      <c r="B989" s="70"/>
      <c r="C989" s="70"/>
      <c r="D989" s="8"/>
      <c r="E989" s="8"/>
      <c r="I989" s="8"/>
      <c r="J989" s="8"/>
    </row>
    <row r="990" spans="1:10" x14ac:dyDescent="0.2">
      <c r="A990" s="82"/>
      <c r="B990" s="70"/>
      <c r="C990" s="70"/>
      <c r="D990" s="8"/>
      <c r="E990" s="8"/>
      <c r="I990" s="8"/>
      <c r="J990" s="8"/>
    </row>
    <row r="991" spans="1:10" x14ac:dyDescent="0.2">
      <c r="A991" s="82"/>
      <c r="B991" s="70"/>
      <c r="C991" s="70"/>
      <c r="D991" s="8"/>
      <c r="E991" s="8"/>
      <c r="I991" s="8"/>
      <c r="J991" s="8"/>
    </row>
    <row r="992" spans="1:10" x14ac:dyDescent="0.2">
      <c r="A992" s="82"/>
      <c r="B992" s="70"/>
      <c r="C992" s="70"/>
      <c r="D992" s="8"/>
      <c r="E992" s="8"/>
      <c r="I992" s="8"/>
      <c r="J992" s="8"/>
    </row>
    <row r="993" spans="1:10" x14ac:dyDescent="0.2">
      <c r="A993" s="82"/>
      <c r="B993" s="70"/>
      <c r="C993" s="70"/>
      <c r="D993" s="8"/>
      <c r="E993" s="8"/>
      <c r="I993" s="8"/>
      <c r="J993" s="8"/>
    </row>
    <row r="994" spans="1:10" x14ac:dyDescent="0.2">
      <c r="A994" s="82"/>
      <c r="B994" s="70"/>
      <c r="C994" s="70"/>
      <c r="D994" s="8"/>
      <c r="E994" s="8"/>
      <c r="I994" s="8"/>
      <c r="J994" s="8"/>
    </row>
    <row r="995" spans="1:10" x14ac:dyDescent="0.2">
      <c r="A995" s="82"/>
      <c r="B995" s="70"/>
      <c r="C995" s="70"/>
      <c r="D995" s="8"/>
      <c r="E995" s="8"/>
      <c r="I995" s="8"/>
      <c r="J995" s="8"/>
    </row>
    <row r="996" spans="1:10" x14ac:dyDescent="0.2">
      <c r="A996" s="82"/>
      <c r="B996" s="70"/>
      <c r="C996" s="70"/>
      <c r="D996" s="8"/>
      <c r="E996" s="8"/>
      <c r="I996" s="8"/>
      <c r="J996" s="8"/>
    </row>
    <row r="997" spans="1:10" x14ac:dyDescent="0.2">
      <c r="A997" s="82"/>
      <c r="B997" s="70"/>
      <c r="C997" s="70"/>
      <c r="D997" s="8"/>
      <c r="E997" s="8"/>
      <c r="I997" s="8"/>
      <c r="J997" s="8"/>
    </row>
    <row r="998" spans="1:10" x14ac:dyDescent="0.2">
      <c r="A998" s="82"/>
      <c r="B998" s="70"/>
      <c r="C998" s="70"/>
      <c r="D998" s="8"/>
      <c r="E998" s="8"/>
      <c r="I998" s="8"/>
      <c r="J998" s="8"/>
    </row>
    <row r="999" spans="1:10" x14ac:dyDescent="0.2">
      <c r="A999" s="82"/>
      <c r="B999" s="70"/>
      <c r="C999" s="70"/>
      <c r="D999" s="8"/>
      <c r="E999" s="8"/>
      <c r="I999" s="8"/>
      <c r="J999" s="8"/>
    </row>
    <row r="1000" spans="1:10" x14ac:dyDescent="0.2">
      <c r="A1000" s="82"/>
      <c r="B1000" s="70"/>
      <c r="C1000" s="70"/>
      <c r="D1000" s="8"/>
      <c r="E1000" s="8"/>
      <c r="I1000" s="8"/>
      <c r="J1000" s="8"/>
    </row>
    <row r="1001" spans="1:10" x14ac:dyDescent="0.2">
      <c r="A1001" s="82"/>
      <c r="B1001" s="70"/>
      <c r="C1001" s="70"/>
      <c r="D1001" s="8"/>
      <c r="E1001" s="8"/>
      <c r="I1001" s="8"/>
      <c r="J1001" s="8"/>
    </row>
    <row r="1002" spans="1:10" x14ac:dyDescent="0.2">
      <c r="A1002" s="82"/>
      <c r="B1002" s="70"/>
      <c r="C1002" s="70"/>
      <c r="D1002" s="8"/>
      <c r="E1002" s="8"/>
      <c r="I1002" s="8"/>
      <c r="J1002" s="8"/>
    </row>
    <row r="1003" spans="1:10" x14ac:dyDescent="0.2">
      <c r="A1003" s="82"/>
      <c r="B1003" s="70"/>
      <c r="C1003" s="70"/>
      <c r="D1003" s="8"/>
      <c r="E1003" s="8"/>
      <c r="I1003" s="8"/>
      <c r="J1003" s="8"/>
    </row>
    <row r="1004" spans="1:10" x14ac:dyDescent="0.2">
      <c r="A1004" s="82"/>
      <c r="B1004" s="70"/>
      <c r="C1004" s="70"/>
      <c r="D1004" s="8"/>
      <c r="E1004" s="8"/>
      <c r="I1004" s="8"/>
      <c r="J1004" s="8"/>
    </row>
    <row r="1005" spans="1:10" x14ac:dyDescent="0.2">
      <c r="A1005" s="82"/>
      <c r="B1005" s="70"/>
      <c r="C1005" s="70"/>
      <c r="D1005" s="8"/>
      <c r="E1005" s="8"/>
      <c r="I1005" s="8"/>
      <c r="J1005" s="8"/>
    </row>
    <row r="1006" spans="1:10" x14ac:dyDescent="0.2">
      <c r="A1006" s="82"/>
      <c r="B1006" s="70"/>
      <c r="C1006" s="70"/>
      <c r="D1006" s="8"/>
      <c r="E1006" s="8"/>
      <c r="I1006" s="8"/>
      <c r="J1006" s="8"/>
    </row>
    <row r="1007" spans="1:10" x14ac:dyDescent="0.2">
      <c r="A1007" s="82"/>
      <c r="B1007" s="70"/>
      <c r="C1007" s="70"/>
      <c r="D1007" s="8"/>
      <c r="E1007" s="8"/>
      <c r="I1007" s="8"/>
      <c r="J1007" s="8"/>
    </row>
    <row r="1008" spans="1:10" x14ac:dyDescent="0.2">
      <c r="A1008" s="82"/>
      <c r="B1008" s="70"/>
      <c r="C1008" s="70"/>
      <c r="D1008" s="8"/>
      <c r="E1008" s="8"/>
      <c r="I1008" s="8"/>
      <c r="J1008" s="8"/>
    </row>
    <row r="1009" spans="1:10" x14ac:dyDescent="0.2">
      <c r="A1009" s="82"/>
      <c r="B1009" s="70"/>
      <c r="C1009" s="70"/>
      <c r="D1009" s="8"/>
      <c r="E1009" s="8"/>
      <c r="I1009" s="8"/>
      <c r="J1009" s="8"/>
    </row>
    <row r="1010" spans="1:10" x14ac:dyDescent="0.2">
      <c r="A1010" s="82"/>
      <c r="B1010" s="70"/>
      <c r="C1010" s="70"/>
      <c r="D1010" s="8"/>
      <c r="E1010" s="8"/>
      <c r="I1010" s="8"/>
      <c r="J1010" s="8"/>
    </row>
    <row r="1011" spans="1:10" x14ac:dyDescent="0.2">
      <c r="A1011" s="82"/>
      <c r="B1011" s="70"/>
      <c r="C1011" s="70"/>
      <c r="D1011" s="8"/>
      <c r="E1011" s="8"/>
      <c r="I1011" s="8"/>
      <c r="J1011" s="8"/>
    </row>
    <row r="1012" spans="1:10" x14ac:dyDescent="0.2">
      <c r="A1012" s="82"/>
      <c r="B1012" s="70"/>
      <c r="C1012" s="70"/>
      <c r="D1012" s="8"/>
      <c r="E1012" s="8"/>
      <c r="I1012" s="8"/>
      <c r="J1012" s="8"/>
    </row>
    <row r="1013" spans="1:10" x14ac:dyDescent="0.2">
      <c r="A1013" s="82"/>
      <c r="B1013" s="70"/>
      <c r="C1013" s="70"/>
      <c r="D1013" s="8"/>
      <c r="E1013" s="8"/>
      <c r="I1013" s="8"/>
      <c r="J1013" s="8"/>
    </row>
    <row r="1014" spans="1:10" x14ac:dyDescent="0.2">
      <c r="A1014" s="82"/>
      <c r="B1014" s="70"/>
      <c r="C1014" s="70"/>
      <c r="D1014" s="8"/>
      <c r="E1014" s="8"/>
      <c r="I1014" s="8"/>
      <c r="J1014" s="8"/>
    </row>
    <row r="1015" spans="1:10" x14ac:dyDescent="0.2">
      <c r="A1015" s="82"/>
      <c r="B1015" s="70"/>
      <c r="C1015" s="70"/>
      <c r="D1015" s="8"/>
      <c r="E1015" s="8"/>
      <c r="I1015" s="8"/>
      <c r="J1015" s="8"/>
    </row>
    <row r="1016" spans="1:10" x14ac:dyDescent="0.2">
      <c r="A1016" s="82"/>
      <c r="B1016" s="70"/>
      <c r="C1016" s="70"/>
      <c r="D1016" s="8"/>
      <c r="E1016" s="8"/>
      <c r="I1016" s="8"/>
      <c r="J1016" s="8"/>
    </row>
    <row r="1017" spans="1:10" x14ac:dyDescent="0.2">
      <c r="A1017" s="82"/>
      <c r="B1017" s="70"/>
      <c r="C1017" s="70"/>
      <c r="D1017" s="8"/>
      <c r="E1017" s="8"/>
      <c r="I1017" s="8"/>
      <c r="J1017" s="8"/>
    </row>
    <row r="1018" spans="1:10" x14ac:dyDescent="0.2">
      <c r="A1018" s="82"/>
      <c r="B1018" s="70"/>
      <c r="C1018" s="70"/>
      <c r="D1018" s="8"/>
      <c r="E1018" s="8"/>
      <c r="I1018" s="8"/>
      <c r="J1018" s="8"/>
    </row>
    <row r="1019" spans="1:10" x14ac:dyDescent="0.2">
      <c r="A1019" s="82"/>
      <c r="B1019" s="70"/>
      <c r="C1019" s="70"/>
      <c r="D1019" s="8"/>
      <c r="E1019" s="8"/>
      <c r="I1019" s="8"/>
      <c r="J1019" s="8"/>
    </row>
    <row r="1020" spans="1:10" x14ac:dyDescent="0.2">
      <c r="A1020" s="82"/>
      <c r="B1020" s="70"/>
      <c r="C1020" s="70"/>
      <c r="D1020" s="8"/>
      <c r="E1020" s="8"/>
      <c r="I1020" s="8"/>
      <c r="J1020" s="8"/>
    </row>
    <row r="1021" spans="1:10" x14ac:dyDescent="0.2">
      <c r="A1021" s="82"/>
      <c r="B1021" s="70"/>
      <c r="C1021" s="70"/>
      <c r="D1021" s="8"/>
      <c r="E1021" s="8"/>
      <c r="I1021" s="8"/>
      <c r="J1021" s="8"/>
    </row>
    <row r="1022" spans="1:10" x14ac:dyDescent="0.2">
      <c r="A1022" s="82"/>
      <c r="B1022" s="70"/>
      <c r="C1022" s="70"/>
      <c r="D1022" s="8"/>
      <c r="E1022" s="8"/>
      <c r="I1022" s="8"/>
      <c r="J1022" s="8"/>
    </row>
    <row r="1023" spans="1:10" x14ac:dyDescent="0.2">
      <c r="A1023" s="82"/>
      <c r="B1023" s="70"/>
      <c r="C1023" s="70"/>
      <c r="D1023" s="8"/>
      <c r="E1023" s="8"/>
      <c r="I1023" s="8"/>
      <c r="J1023" s="8"/>
    </row>
    <row r="1024" spans="1:10" x14ac:dyDescent="0.2">
      <c r="A1024" s="82"/>
      <c r="B1024" s="70"/>
      <c r="C1024" s="70"/>
      <c r="D1024" s="8"/>
      <c r="E1024" s="8"/>
      <c r="I1024" s="8"/>
      <c r="J1024" s="8"/>
    </row>
    <row r="1025" spans="1:10" x14ac:dyDescent="0.2">
      <c r="A1025" s="82"/>
      <c r="B1025" s="70"/>
      <c r="C1025" s="70"/>
      <c r="D1025" s="8"/>
      <c r="E1025" s="8"/>
      <c r="I1025" s="8"/>
      <c r="J1025" s="8"/>
    </row>
    <row r="1026" spans="1:10" x14ac:dyDescent="0.2">
      <c r="A1026" s="82"/>
      <c r="B1026" s="70"/>
      <c r="C1026" s="70"/>
      <c r="D1026" s="8"/>
      <c r="E1026" s="8"/>
      <c r="I1026" s="8"/>
      <c r="J1026" s="8"/>
    </row>
    <row r="1027" spans="1:10" x14ac:dyDescent="0.2">
      <c r="A1027" s="82"/>
      <c r="B1027" s="70"/>
      <c r="C1027" s="70"/>
      <c r="D1027" s="8"/>
      <c r="E1027" s="8"/>
      <c r="I1027" s="8"/>
      <c r="J1027" s="8"/>
    </row>
    <row r="1028" spans="1:10" x14ac:dyDescent="0.2">
      <c r="A1028" s="82"/>
      <c r="B1028" s="70"/>
      <c r="C1028" s="70"/>
      <c r="D1028" s="8"/>
      <c r="E1028" s="8"/>
      <c r="I1028" s="8"/>
      <c r="J1028" s="8"/>
    </row>
    <row r="1029" spans="1:10" x14ac:dyDescent="0.2">
      <c r="A1029" s="82"/>
      <c r="B1029" s="70"/>
      <c r="C1029" s="70"/>
      <c r="D1029" s="8"/>
      <c r="E1029" s="8"/>
      <c r="I1029" s="8"/>
      <c r="J1029" s="8"/>
    </row>
    <row r="1030" spans="1:10" x14ac:dyDescent="0.2">
      <c r="A1030" s="82"/>
      <c r="B1030" s="70"/>
      <c r="C1030" s="70"/>
      <c r="D1030" s="8"/>
      <c r="E1030" s="8"/>
      <c r="I1030" s="8"/>
      <c r="J1030" s="8"/>
    </row>
    <row r="1031" spans="1:10" x14ac:dyDescent="0.2">
      <c r="A1031" s="82"/>
      <c r="B1031" s="70"/>
      <c r="C1031" s="70"/>
      <c r="D1031" s="8"/>
      <c r="E1031" s="8"/>
      <c r="I1031" s="8"/>
      <c r="J1031" s="8"/>
    </row>
    <row r="1032" spans="1:10" x14ac:dyDescent="0.2">
      <c r="A1032" s="82"/>
      <c r="B1032" s="70"/>
      <c r="C1032" s="70"/>
      <c r="D1032" s="8"/>
      <c r="E1032" s="8"/>
      <c r="I1032" s="8"/>
      <c r="J1032" s="8"/>
    </row>
    <row r="1033" spans="1:10" x14ac:dyDescent="0.2">
      <c r="A1033" s="82"/>
      <c r="B1033" s="70"/>
      <c r="C1033" s="70"/>
      <c r="D1033" s="8"/>
      <c r="E1033" s="8"/>
      <c r="I1033" s="8"/>
      <c r="J1033" s="8"/>
    </row>
    <row r="1034" spans="1:10" x14ac:dyDescent="0.2">
      <c r="A1034" s="82"/>
      <c r="B1034" s="70"/>
      <c r="C1034" s="70"/>
      <c r="D1034" s="8"/>
      <c r="E1034" s="8"/>
      <c r="I1034" s="8"/>
      <c r="J1034" s="8"/>
    </row>
    <row r="1035" spans="1:10" x14ac:dyDescent="0.2">
      <c r="A1035" s="82"/>
      <c r="B1035" s="70"/>
      <c r="C1035" s="70"/>
      <c r="D1035" s="8"/>
      <c r="E1035" s="8"/>
      <c r="I1035" s="8"/>
      <c r="J1035" s="8"/>
    </row>
    <row r="1036" spans="1:10" x14ac:dyDescent="0.2">
      <c r="A1036" s="82"/>
      <c r="B1036" s="70"/>
      <c r="C1036" s="70"/>
      <c r="D1036" s="8"/>
      <c r="E1036" s="8"/>
      <c r="I1036" s="8"/>
      <c r="J1036" s="8"/>
    </row>
    <row r="1037" spans="1:10" x14ac:dyDescent="0.2">
      <c r="A1037" s="82"/>
      <c r="B1037" s="70"/>
      <c r="C1037" s="70"/>
      <c r="D1037" s="8"/>
      <c r="E1037" s="8"/>
      <c r="I1037" s="8"/>
      <c r="J1037" s="8"/>
    </row>
    <row r="1038" spans="1:10" x14ac:dyDescent="0.2">
      <c r="A1038" s="82"/>
      <c r="B1038" s="70"/>
      <c r="C1038" s="70"/>
      <c r="D1038" s="8"/>
      <c r="E1038" s="8"/>
      <c r="I1038" s="8"/>
      <c r="J1038" s="8"/>
    </row>
    <row r="1039" spans="1:10" x14ac:dyDescent="0.2">
      <c r="A1039" s="82"/>
      <c r="B1039" s="70"/>
      <c r="C1039" s="70"/>
      <c r="D1039" s="8"/>
      <c r="E1039" s="8"/>
      <c r="I1039" s="8"/>
      <c r="J1039" s="8"/>
    </row>
    <row r="1040" spans="1:10" x14ac:dyDescent="0.2">
      <c r="A1040" s="82"/>
      <c r="B1040" s="70"/>
      <c r="C1040" s="70"/>
      <c r="D1040" s="8"/>
      <c r="E1040" s="8"/>
      <c r="I1040" s="8"/>
      <c r="J1040" s="8"/>
    </row>
    <row r="1041" spans="1:10" x14ac:dyDescent="0.2">
      <c r="A1041" s="82"/>
      <c r="B1041" s="70"/>
      <c r="C1041" s="70"/>
      <c r="D1041" s="8"/>
      <c r="E1041" s="8"/>
      <c r="I1041" s="8"/>
      <c r="J1041" s="8"/>
    </row>
    <row r="1042" spans="1:10" x14ac:dyDescent="0.2">
      <c r="A1042" s="82"/>
      <c r="B1042" s="70"/>
      <c r="C1042" s="70"/>
      <c r="D1042" s="8"/>
      <c r="E1042" s="8"/>
      <c r="I1042" s="8"/>
      <c r="J1042" s="8"/>
    </row>
    <row r="1043" spans="1:10" x14ac:dyDescent="0.2">
      <c r="A1043" s="82"/>
      <c r="B1043" s="70"/>
      <c r="C1043" s="70"/>
      <c r="D1043" s="8"/>
      <c r="E1043" s="8"/>
      <c r="I1043" s="8"/>
      <c r="J1043" s="8"/>
    </row>
    <row r="1044" spans="1:10" x14ac:dyDescent="0.2">
      <c r="A1044" s="82"/>
      <c r="B1044" s="70"/>
      <c r="C1044" s="70"/>
      <c r="D1044" s="8"/>
      <c r="E1044" s="8"/>
      <c r="I1044" s="8"/>
      <c r="J1044" s="8"/>
    </row>
    <row r="1045" spans="1:10" x14ac:dyDescent="0.2">
      <c r="A1045" s="82"/>
      <c r="B1045" s="70"/>
      <c r="C1045" s="70"/>
      <c r="D1045" s="8"/>
      <c r="E1045" s="8"/>
      <c r="I1045" s="8"/>
      <c r="J1045" s="8"/>
    </row>
    <row r="1046" spans="1:10" x14ac:dyDescent="0.2">
      <c r="A1046" s="82"/>
      <c r="B1046" s="70"/>
      <c r="C1046" s="70"/>
      <c r="D1046" s="8"/>
      <c r="E1046" s="8"/>
      <c r="I1046" s="8"/>
      <c r="J1046" s="8"/>
    </row>
    <row r="1047" spans="1:10" x14ac:dyDescent="0.2">
      <c r="A1047" s="82"/>
      <c r="B1047" s="70"/>
      <c r="C1047" s="70"/>
      <c r="D1047" s="8"/>
      <c r="E1047" s="8"/>
      <c r="I1047" s="8"/>
      <c r="J1047" s="8"/>
    </row>
    <row r="1048" spans="1:10" x14ac:dyDescent="0.2">
      <c r="A1048" s="82"/>
      <c r="B1048" s="70"/>
      <c r="C1048" s="70"/>
      <c r="D1048" s="8"/>
      <c r="E1048" s="8"/>
      <c r="I1048" s="8"/>
      <c r="J1048" s="8"/>
    </row>
    <row r="1049" spans="1:10" x14ac:dyDescent="0.2">
      <c r="A1049" s="82"/>
      <c r="B1049" s="70"/>
      <c r="C1049" s="70"/>
      <c r="D1049" s="8"/>
      <c r="E1049" s="8"/>
      <c r="I1049" s="8"/>
      <c r="J1049" s="8"/>
    </row>
    <row r="1050" spans="1:10" x14ac:dyDescent="0.2">
      <c r="A1050" s="82"/>
      <c r="B1050" s="70"/>
      <c r="C1050" s="70"/>
      <c r="D1050" s="8"/>
      <c r="E1050" s="8"/>
      <c r="I1050" s="8"/>
      <c r="J1050" s="8"/>
    </row>
    <row r="1051" spans="1:10" x14ac:dyDescent="0.2">
      <c r="A1051" s="82"/>
      <c r="B1051" s="70"/>
      <c r="C1051" s="70"/>
      <c r="D1051" s="8"/>
      <c r="E1051" s="8"/>
      <c r="I1051" s="8"/>
      <c r="J1051" s="8"/>
    </row>
    <row r="1052" spans="1:10" x14ac:dyDescent="0.2">
      <c r="A1052" s="82"/>
      <c r="B1052" s="70"/>
      <c r="C1052" s="70"/>
      <c r="D1052" s="8"/>
      <c r="E1052" s="8"/>
      <c r="I1052" s="8"/>
      <c r="J1052" s="8"/>
    </row>
    <row r="1053" spans="1:10" x14ac:dyDescent="0.2">
      <c r="A1053" s="82"/>
      <c r="B1053" s="70"/>
      <c r="C1053" s="70"/>
      <c r="D1053" s="8"/>
      <c r="E1053" s="8"/>
      <c r="I1053" s="8"/>
      <c r="J1053" s="8"/>
    </row>
    <row r="1054" spans="1:10" x14ac:dyDescent="0.2">
      <c r="A1054" s="82"/>
      <c r="B1054" s="70"/>
      <c r="C1054" s="70"/>
      <c r="D1054" s="8"/>
      <c r="E1054" s="8"/>
      <c r="I1054" s="8"/>
      <c r="J1054" s="8"/>
    </row>
    <row r="1055" spans="1:10" x14ac:dyDescent="0.2">
      <c r="A1055" s="82"/>
      <c r="B1055" s="70"/>
      <c r="C1055" s="70"/>
      <c r="D1055" s="8"/>
      <c r="E1055" s="8"/>
      <c r="I1055" s="8"/>
      <c r="J1055" s="8"/>
    </row>
    <row r="1056" spans="1:10" x14ac:dyDescent="0.2">
      <c r="A1056" s="82"/>
      <c r="B1056" s="70"/>
      <c r="C1056" s="70"/>
      <c r="D1056" s="8"/>
      <c r="E1056" s="8"/>
      <c r="I1056" s="8"/>
      <c r="J1056" s="8"/>
    </row>
    <row r="1057" spans="1:10" x14ac:dyDescent="0.2">
      <c r="A1057" s="82"/>
      <c r="B1057" s="70"/>
      <c r="C1057" s="70"/>
      <c r="D1057" s="8"/>
      <c r="E1057" s="8"/>
      <c r="I1057" s="8"/>
      <c r="J1057" s="8"/>
    </row>
    <row r="1058" spans="1:10" x14ac:dyDescent="0.2">
      <c r="A1058" s="82"/>
      <c r="B1058" s="70"/>
      <c r="C1058" s="70"/>
      <c r="D1058" s="8"/>
      <c r="E1058" s="8"/>
      <c r="I1058" s="8"/>
      <c r="J1058" s="8"/>
    </row>
    <row r="1059" spans="1:10" x14ac:dyDescent="0.2">
      <c r="A1059" s="82"/>
      <c r="B1059" s="70"/>
      <c r="C1059" s="70"/>
      <c r="D1059" s="8"/>
      <c r="E1059" s="8"/>
      <c r="I1059" s="8"/>
      <c r="J1059" s="8"/>
    </row>
    <row r="1060" spans="1:10" x14ac:dyDescent="0.2">
      <c r="A1060" s="82"/>
      <c r="B1060" s="70"/>
      <c r="C1060" s="70"/>
      <c r="D1060" s="8"/>
      <c r="E1060" s="8"/>
      <c r="I1060" s="8"/>
      <c r="J1060" s="8"/>
    </row>
    <row r="1061" spans="1:10" x14ac:dyDescent="0.2">
      <c r="A1061" s="82"/>
      <c r="B1061" s="70"/>
      <c r="C1061" s="70"/>
      <c r="D1061" s="8"/>
      <c r="E1061" s="8"/>
      <c r="I1061" s="8"/>
      <c r="J1061" s="8"/>
    </row>
    <row r="1062" spans="1:10" x14ac:dyDescent="0.2">
      <c r="A1062" s="82"/>
      <c r="B1062" s="70"/>
      <c r="C1062" s="70"/>
      <c r="D1062" s="8"/>
      <c r="E1062" s="8"/>
      <c r="I1062" s="8"/>
      <c r="J1062" s="8"/>
    </row>
    <row r="1063" spans="1:10" x14ac:dyDescent="0.2">
      <c r="A1063" s="82"/>
      <c r="B1063" s="70"/>
      <c r="C1063" s="70"/>
      <c r="D1063" s="8"/>
      <c r="E1063" s="8"/>
      <c r="I1063" s="8"/>
      <c r="J1063" s="8"/>
    </row>
    <row r="1064" spans="1:10" x14ac:dyDescent="0.2">
      <c r="A1064" s="82"/>
      <c r="B1064" s="70"/>
      <c r="C1064" s="70"/>
      <c r="D1064" s="8"/>
      <c r="E1064" s="8"/>
      <c r="I1064" s="8"/>
      <c r="J1064" s="8"/>
    </row>
    <row r="1065" spans="1:10" x14ac:dyDescent="0.2">
      <c r="A1065" s="82"/>
      <c r="B1065" s="70"/>
      <c r="C1065" s="70"/>
      <c r="D1065" s="8"/>
      <c r="E1065" s="8"/>
      <c r="I1065" s="8"/>
      <c r="J1065" s="8"/>
    </row>
    <row r="1066" spans="1:10" x14ac:dyDescent="0.2">
      <c r="A1066" s="82"/>
      <c r="B1066" s="70"/>
      <c r="C1066" s="70"/>
      <c r="D1066" s="8"/>
      <c r="E1066" s="8"/>
      <c r="I1066" s="8"/>
      <c r="J1066" s="8"/>
    </row>
    <row r="1067" spans="1:10" x14ac:dyDescent="0.2">
      <c r="A1067" s="82"/>
      <c r="B1067" s="70"/>
      <c r="C1067" s="70"/>
      <c r="D1067" s="8"/>
      <c r="E1067" s="8"/>
      <c r="I1067" s="8"/>
      <c r="J1067" s="8"/>
    </row>
    <row r="1068" spans="1:10" x14ac:dyDescent="0.2">
      <c r="A1068" s="82"/>
      <c r="B1068" s="70"/>
      <c r="C1068" s="70"/>
      <c r="D1068" s="8"/>
      <c r="E1068" s="8"/>
      <c r="I1068" s="8"/>
      <c r="J1068" s="8"/>
    </row>
    <row r="1069" spans="1:10" x14ac:dyDescent="0.2">
      <c r="A1069" s="82"/>
      <c r="B1069" s="70"/>
      <c r="C1069" s="70"/>
      <c r="D1069" s="8"/>
      <c r="E1069" s="8"/>
      <c r="I1069" s="8"/>
      <c r="J1069" s="8"/>
    </row>
    <row r="1070" spans="1:10" x14ac:dyDescent="0.2">
      <c r="A1070" s="82"/>
      <c r="B1070" s="70"/>
      <c r="C1070" s="70"/>
      <c r="D1070" s="8"/>
      <c r="E1070" s="8"/>
      <c r="I1070" s="8"/>
      <c r="J1070" s="8"/>
    </row>
    <row r="1071" spans="1:10" x14ac:dyDescent="0.2">
      <c r="A1071" s="82"/>
      <c r="B1071" s="70"/>
      <c r="C1071" s="70"/>
      <c r="D1071" s="8"/>
      <c r="E1071" s="8"/>
      <c r="I1071" s="8"/>
      <c r="J1071" s="8"/>
    </row>
    <row r="1072" spans="1:10" x14ac:dyDescent="0.2">
      <c r="A1072" s="82"/>
      <c r="B1072" s="70"/>
      <c r="C1072" s="70"/>
      <c r="D1072" s="8"/>
      <c r="E1072" s="8"/>
      <c r="I1072" s="8"/>
      <c r="J1072" s="8"/>
    </row>
    <row r="1073" spans="1:10" x14ac:dyDescent="0.2">
      <c r="A1073" s="82"/>
      <c r="B1073" s="70"/>
      <c r="C1073" s="70"/>
      <c r="D1073" s="8"/>
      <c r="E1073" s="8"/>
      <c r="I1073" s="8"/>
      <c r="J1073" s="8"/>
    </row>
    <row r="1074" spans="1:10" x14ac:dyDescent="0.2">
      <c r="A1074" s="82"/>
      <c r="B1074" s="70"/>
      <c r="C1074" s="70"/>
      <c r="D1074" s="8"/>
      <c r="E1074" s="8"/>
      <c r="I1074" s="8"/>
      <c r="J1074" s="8"/>
    </row>
    <row r="1075" spans="1:10" x14ac:dyDescent="0.2">
      <c r="A1075" s="82"/>
      <c r="B1075" s="70"/>
      <c r="C1075" s="70"/>
      <c r="D1075" s="8"/>
      <c r="E1075" s="8"/>
      <c r="I1075" s="8"/>
      <c r="J1075" s="8"/>
    </row>
    <row r="1076" spans="1:10" x14ac:dyDescent="0.2">
      <c r="A1076" s="82"/>
      <c r="B1076" s="70"/>
      <c r="C1076" s="70"/>
      <c r="D1076" s="8"/>
      <c r="E1076" s="8"/>
      <c r="I1076" s="8"/>
      <c r="J1076" s="8"/>
    </row>
    <row r="1077" spans="1:10" x14ac:dyDescent="0.2">
      <c r="A1077" s="82"/>
      <c r="B1077" s="70"/>
      <c r="C1077" s="70"/>
      <c r="D1077" s="8"/>
      <c r="E1077" s="8"/>
      <c r="I1077" s="8"/>
      <c r="J1077" s="8"/>
    </row>
    <row r="1078" spans="1:10" x14ac:dyDescent="0.2">
      <c r="A1078" s="82"/>
      <c r="B1078" s="70"/>
      <c r="C1078" s="70"/>
      <c r="D1078" s="8"/>
      <c r="E1078" s="8"/>
      <c r="I1078" s="8"/>
      <c r="J1078" s="8"/>
    </row>
    <row r="1079" spans="1:10" x14ac:dyDescent="0.2">
      <c r="A1079" s="82"/>
      <c r="B1079" s="70"/>
      <c r="C1079" s="70"/>
      <c r="D1079" s="8"/>
      <c r="E1079" s="8"/>
      <c r="I1079" s="8"/>
      <c r="J1079" s="8"/>
    </row>
    <row r="1080" spans="1:10" x14ac:dyDescent="0.2">
      <c r="A1080" s="82"/>
      <c r="B1080" s="70"/>
      <c r="C1080" s="70"/>
      <c r="D1080" s="8"/>
      <c r="E1080" s="8"/>
      <c r="I1080" s="8"/>
      <c r="J1080" s="8"/>
    </row>
    <row r="1081" spans="1:10" x14ac:dyDescent="0.2">
      <c r="A1081" s="82"/>
      <c r="B1081" s="70"/>
      <c r="C1081" s="70"/>
      <c r="D1081" s="8"/>
      <c r="E1081" s="8"/>
      <c r="I1081" s="8"/>
      <c r="J1081" s="8"/>
    </row>
    <row r="1082" spans="1:10" x14ac:dyDescent="0.2">
      <c r="A1082" s="82"/>
      <c r="B1082" s="70"/>
      <c r="C1082" s="70"/>
      <c r="D1082" s="8"/>
      <c r="E1082" s="8"/>
      <c r="I1082" s="8"/>
      <c r="J1082" s="8"/>
    </row>
    <row r="1083" spans="1:10" x14ac:dyDescent="0.2">
      <c r="A1083" s="82"/>
      <c r="B1083" s="70"/>
      <c r="C1083" s="70"/>
      <c r="D1083" s="8"/>
      <c r="E1083" s="8"/>
      <c r="I1083" s="8"/>
      <c r="J1083" s="8"/>
    </row>
    <row r="1084" spans="1:10" x14ac:dyDescent="0.2">
      <c r="A1084" s="82"/>
      <c r="B1084" s="70"/>
      <c r="C1084" s="70"/>
      <c r="D1084" s="8"/>
      <c r="E1084" s="8"/>
      <c r="I1084" s="8"/>
      <c r="J1084" s="8"/>
    </row>
    <row r="1085" spans="1:10" x14ac:dyDescent="0.2">
      <c r="A1085" s="82"/>
      <c r="B1085" s="70"/>
      <c r="C1085" s="70"/>
      <c r="D1085" s="8"/>
      <c r="E1085" s="8"/>
      <c r="I1085" s="8"/>
      <c r="J1085" s="8"/>
    </row>
    <row r="1086" spans="1:10" x14ac:dyDescent="0.2">
      <c r="A1086" s="82"/>
      <c r="B1086" s="70"/>
      <c r="C1086" s="70"/>
      <c r="D1086" s="8"/>
      <c r="E1086" s="8"/>
      <c r="I1086" s="8"/>
      <c r="J1086" s="8"/>
    </row>
    <row r="1087" spans="1:10" x14ac:dyDescent="0.2">
      <c r="A1087" s="82"/>
      <c r="B1087" s="70"/>
      <c r="C1087" s="70"/>
      <c r="D1087" s="8"/>
      <c r="E1087" s="8"/>
      <c r="I1087" s="8"/>
      <c r="J1087" s="8"/>
    </row>
    <row r="1088" spans="1:10" x14ac:dyDescent="0.2">
      <c r="A1088" s="82"/>
      <c r="B1088" s="70"/>
      <c r="C1088" s="70"/>
      <c r="D1088" s="8"/>
      <c r="E1088" s="8"/>
      <c r="I1088" s="8"/>
      <c r="J1088" s="8"/>
    </row>
    <row r="1089" spans="1:10" x14ac:dyDescent="0.2">
      <c r="A1089" s="82"/>
      <c r="B1089" s="70"/>
      <c r="C1089" s="70"/>
      <c r="D1089" s="8"/>
      <c r="E1089" s="8"/>
      <c r="I1089" s="8"/>
      <c r="J1089" s="8"/>
    </row>
    <row r="1090" spans="1:10" x14ac:dyDescent="0.2">
      <c r="A1090" s="82"/>
      <c r="B1090" s="70"/>
      <c r="C1090" s="70"/>
      <c r="D1090" s="8"/>
      <c r="E1090" s="8"/>
      <c r="I1090" s="8"/>
      <c r="J1090" s="8"/>
    </row>
    <row r="1091" spans="1:10" x14ac:dyDescent="0.2">
      <c r="A1091" s="82"/>
      <c r="B1091" s="70"/>
      <c r="C1091" s="70"/>
      <c r="D1091" s="8"/>
      <c r="E1091" s="8"/>
      <c r="I1091" s="8"/>
      <c r="J1091" s="8"/>
    </row>
    <row r="1092" spans="1:10" x14ac:dyDescent="0.2">
      <c r="A1092" s="82"/>
      <c r="B1092" s="70"/>
      <c r="C1092" s="70"/>
      <c r="D1092" s="8"/>
      <c r="E1092" s="8"/>
      <c r="I1092" s="8"/>
      <c r="J1092" s="8"/>
    </row>
    <row r="1093" spans="1:10" x14ac:dyDescent="0.2">
      <c r="A1093" s="82"/>
      <c r="B1093" s="70"/>
      <c r="C1093" s="70"/>
      <c r="D1093" s="8"/>
      <c r="E1093" s="8"/>
      <c r="I1093" s="8"/>
      <c r="J1093" s="8"/>
    </row>
    <row r="1094" spans="1:10" x14ac:dyDescent="0.2">
      <c r="A1094" s="82"/>
      <c r="B1094" s="70"/>
      <c r="C1094" s="70"/>
      <c r="D1094" s="8"/>
      <c r="E1094" s="8"/>
      <c r="I1094" s="8"/>
      <c r="J1094" s="8"/>
    </row>
    <row r="1095" spans="1:10" x14ac:dyDescent="0.2">
      <c r="A1095" s="82"/>
      <c r="B1095" s="70"/>
      <c r="C1095" s="70"/>
      <c r="D1095" s="8"/>
      <c r="E1095" s="8"/>
      <c r="I1095" s="8"/>
      <c r="J1095" s="8"/>
    </row>
    <row r="1096" spans="1:10" x14ac:dyDescent="0.2">
      <c r="A1096" s="82"/>
      <c r="B1096" s="70"/>
      <c r="C1096" s="70"/>
      <c r="D1096" s="8"/>
      <c r="E1096" s="8"/>
      <c r="I1096" s="8"/>
      <c r="J1096" s="8"/>
    </row>
    <row r="1097" spans="1:10" x14ac:dyDescent="0.2">
      <c r="A1097" s="82"/>
      <c r="B1097" s="70"/>
      <c r="C1097" s="70"/>
      <c r="D1097" s="8"/>
      <c r="E1097" s="8"/>
      <c r="I1097" s="8"/>
      <c r="J1097" s="8"/>
    </row>
    <row r="1098" spans="1:10" x14ac:dyDescent="0.2">
      <c r="A1098" s="82"/>
      <c r="B1098" s="70"/>
      <c r="C1098" s="70"/>
      <c r="D1098" s="8"/>
      <c r="E1098" s="8"/>
      <c r="I1098" s="8"/>
      <c r="J1098" s="8"/>
    </row>
    <row r="1099" spans="1:10" x14ac:dyDescent="0.2">
      <c r="A1099" s="82"/>
      <c r="B1099" s="70"/>
      <c r="C1099" s="70"/>
      <c r="D1099" s="8"/>
      <c r="E1099" s="8"/>
      <c r="I1099" s="8"/>
      <c r="J1099" s="8"/>
    </row>
    <row r="1100" spans="1:10" x14ac:dyDescent="0.2">
      <c r="A1100" s="82"/>
      <c r="B1100" s="70"/>
      <c r="C1100" s="70"/>
      <c r="D1100" s="8"/>
      <c r="E1100" s="8"/>
      <c r="I1100" s="8"/>
      <c r="J1100" s="8"/>
    </row>
    <row r="1101" spans="1:10" x14ac:dyDescent="0.2">
      <c r="A1101" s="82"/>
      <c r="B1101" s="70"/>
      <c r="C1101" s="70"/>
      <c r="D1101" s="8"/>
      <c r="E1101" s="8"/>
      <c r="I1101" s="8"/>
      <c r="J1101" s="8"/>
    </row>
    <row r="1102" spans="1:10" x14ac:dyDescent="0.2">
      <c r="A1102" s="82"/>
      <c r="B1102" s="70"/>
      <c r="C1102" s="70"/>
      <c r="D1102" s="8"/>
      <c r="E1102" s="8"/>
      <c r="I1102" s="8"/>
      <c r="J1102" s="8"/>
    </row>
    <row r="1103" spans="1:10" x14ac:dyDescent="0.2">
      <c r="A1103" s="82"/>
      <c r="B1103" s="70"/>
      <c r="C1103" s="70"/>
      <c r="D1103" s="8"/>
      <c r="E1103" s="8"/>
      <c r="I1103" s="8"/>
      <c r="J1103" s="8"/>
    </row>
    <row r="1104" spans="1:10" x14ac:dyDescent="0.2">
      <c r="A1104" s="82"/>
      <c r="B1104" s="70"/>
      <c r="C1104" s="70"/>
      <c r="D1104" s="8"/>
      <c r="E1104" s="8"/>
      <c r="I1104" s="8"/>
      <c r="J1104" s="8"/>
    </row>
    <row r="1105" spans="1:10" x14ac:dyDescent="0.2">
      <c r="A1105" s="82"/>
      <c r="B1105" s="70"/>
      <c r="C1105" s="70"/>
      <c r="D1105" s="8"/>
      <c r="E1105" s="8"/>
      <c r="I1105" s="8"/>
      <c r="J1105" s="8"/>
    </row>
    <row r="1106" spans="1:10" x14ac:dyDescent="0.2">
      <c r="A1106" s="82"/>
      <c r="B1106" s="70"/>
      <c r="C1106" s="70"/>
      <c r="D1106" s="8"/>
      <c r="E1106" s="8"/>
      <c r="I1106" s="8"/>
      <c r="J1106" s="8"/>
    </row>
    <row r="1107" spans="1:10" x14ac:dyDescent="0.2">
      <c r="A1107" s="82"/>
      <c r="B1107" s="70"/>
      <c r="C1107" s="70"/>
      <c r="D1107" s="8"/>
      <c r="E1107" s="8"/>
      <c r="I1107" s="8"/>
      <c r="J1107" s="8"/>
    </row>
    <row r="1108" spans="1:10" x14ac:dyDescent="0.2">
      <c r="A1108" s="82"/>
      <c r="B1108" s="70"/>
      <c r="C1108" s="70"/>
      <c r="D1108" s="8"/>
      <c r="E1108" s="8"/>
      <c r="I1108" s="8"/>
      <c r="J1108" s="8"/>
    </row>
    <row r="1109" spans="1:10" x14ac:dyDescent="0.2">
      <c r="A1109" s="82"/>
      <c r="B1109" s="70"/>
      <c r="C1109" s="70"/>
      <c r="D1109" s="8"/>
      <c r="E1109" s="8"/>
      <c r="I1109" s="8"/>
      <c r="J1109" s="8"/>
    </row>
    <row r="1110" spans="1:10" x14ac:dyDescent="0.2">
      <c r="A1110" s="82"/>
      <c r="B1110" s="70"/>
      <c r="C1110" s="70"/>
      <c r="D1110" s="8"/>
      <c r="E1110" s="8"/>
      <c r="I1110" s="8"/>
      <c r="J1110" s="8"/>
    </row>
    <row r="1111" spans="1:10" x14ac:dyDescent="0.2">
      <c r="A1111" s="82"/>
      <c r="B1111" s="70"/>
      <c r="C1111" s="70"/>
      <c r="D1111" s="8"/>
      <c r="E1111" s="8"/>
      <c r="I1111" s="8"/>
      <c r="J1111" s="8"/>
    </row>
    <row r="1112" spans="1:10" x14ac:dyDescent="0.2">
      <c r="A1112" s="82"/>
      <c r="B1112" s="70"/>
      <c r="C1112" s="70"/>
      <c r="D1112" s="8"/>
      <c r="E1112" s="8"/>
      <c r="I1112" s="8"/>
      <c r="J1112" s="8"/>
    </row>
    <row r="1113" spans="1:10" x14ac:dyDescent="0.2">
      <c r="A1113" s="82"/>
      <c r="B1113" s="70"/>
      <c r="C1113" s="70"/>
      <c r="D1113" s="8"/>
      <c r="E1113" s="8"/>
      <c r="I1113" s="8"/>
      <c r="J1113" s="8"/>
    </row>
    <row r="1114" spans="1:10" x14ac:dyDescent="0.2">
      <c r="A1114" s="82"/>
      <c r="B1114" s="70"/>
      <c r="C1114" s="70"/>
      <c r="D1114" s="8"/>
      <c r="E1114" s="8"/>
      <c r="I1114" s="8"/>
      <c r="J1114" s="8"/>
    </row>
    <row r="1115" spans="1:10" x14ac:dyDescent="0.2">
      <c r="A1115" s="82"/>
      <c r="B1115" s="70"/>
      <c r="C1115" s="70"/>
      <c r="D1115" s="8"/>
      <c r="E1115" s="8"/>
      <c r="I1115" s="8"/>
      <c r="J1115" s="8"/>
    </row>
    <row r="1116" spans="1:10" x14ac:dyDescent="0.2">
      <c r="A1116" s="82"/>
      <c r="B1116" s="70"/>
      <c r="C1116" s="70"/>
      <c r="D1116" s="8"/>
      <c r="E1116" s="8"/>
      <c r="I1116" s="8"/>
      <c r="J1116" s="8"/>
    </row>
    <row r="1117" spans="1:10" x14ac:dyDescent="0.2">
      <c r="A1117" s="82"/>
      <c r="B1117" s="70"/>
      <c r="C1117" s="70"/>
      <c r="D1117" s="8"/>
      <c r="E1117" s="8"/>
      <c r="I1117" s="8"/>
      <c r="J1117" s="8"/>
    </row>
    <row r="1118" spans="1:10" x14ac:dyDescent="0.2">
      <c r="A1118" s="82"/>
      <c r="B1118" s="70"/>
      <c r="C1118" s="70"/>
      <c r="D1118" s="8"/>
      <c r="E1118" s="8"/>
      <c r="I1118" s="8"/>
      <c r="J1118" s="8"/>
    </row>
    <row r="1119" spans="1:10" x14ac:dyDescent="0.2">
      <c r="A1119" s="82"/>
      <c r="B1119" s="70"/>
      <c r="C1119" s="70"/>
      <c r="D1119" s="8"/>
      <c r="E1119" s="8"/>
      <c r="I1119" s="8"/>
      <c r="J1119" s="8"/>
    </row>
    <row r="1120" spans="1:10" x14ac:dyDescent="0.2">
      <c r="A1120" s="82"/>
      <c r="B1120" s="70"/>
      <c r="C1120" s="70"/>
      <c r="D1120" s="8"/>
      <c r="E1120" s="8"/>
      <c r="I1120" s="8"/>
      <c r="J1120" s="8"/>
    </row>
    <row r="1121" spans="1:10" x14ac:dyDescent="0.2">
      <c r="A1121" s="82"/>
      <c r="B1121" s="70"/>
      <c r="C1121" s="70"/>
      <c r="D1121" s="8"/>
      <c r="E1121" s="8"/>
      <c r="I1121" s="8"/>
      <c r="J1121" s="8"/>
    </row>
    <row r="1122" spans="1:10" x14ac:dyDescent="0.2">
      <c r="A1122" s="82"/>
      <c r="B1122" s="70"/>
      <c r="C1122" s="70"/>
      <c r="D1122" s="8"/>
      <c r="E1122" s="8"/>
      <c r="I1122" s="8"/>
      <c r="J1122" s="8"/>
    </row>
    <row r="1123" spans="1:10" x14ac:dyDescent="0.2">
      <c r="A1123" s="82"/>
      <c r="B1123" s="70"/>
      <c r="C1123" s="70"/>
      <c r="D1123" s="8"/>
      <c r="E1123" s="8"/>
      <c r="I1123" s="8"/>
      <c r="J1123" s="8"/>
    </row>
    <row r="1124" spans="1:10" x14ac:dyDescent="0.2">
      <c r="A1124" s="82"/>
      <c r="B1124" s="70"/>
      <c r="C1124" s="70"/>
      <c r="D1124" s="8"/>
      <c r="E1124" s="8"/>
      <c r="I1124" s="8"/>
      <c r="J1124" s="8"/>
    </row>
    <row r="1125" spans="1:10" x14ac:dyDescent="0.2">
      <c r="A1125" s="82"/>
      <c r="B1125" s="70"/>
      <c r="C1125" s="70"/>
      <c r="D1125" s="8"/>
      <c r="E1125" s="8"/>
      <c r="I1125" s="8"/>
      <c r="J1125" s="8"/>
    </row>
    <row r="1126" spans="1:10" x14ac:dyDescent="0.2">
      <c r="A1126" s="82"/>
      <c r="B1126" s="70"/>
      <c r="C1126" s="70"/>
      <c r="D1126" s="8"/>
      <c r="E1126" s="8"/>
      <c r="I1126" s="8"/>
      <c r="J1126" s="8"/>
    </row>
    <row r="1127" spans="1:10" x14ac:dyDescent="0.2">
      <c r="A1127" s="82"/>
      <c r="B1127" s="70"/>
      <c r="C1127" s="70"/>
      <c r="D1127" s="8"/>
      <c r="E1127" s="8"/>
      <c r="I1127" s="8"/>
      <c r="J1127" s="8"/>
    </row>
    <row r="1128" spans="1:10" x14ac:dyDescent="0.2">
      <c r="A1128" s="82"/>
      <c r="B1128" s="70"/>
      <c r="C1128" s="70"/>
      <c r="D1128" s="8"/>
      <c r="E1128" s="8"/>
      <c r="I1128" s="8"/>
      <c r="J1128" s="8"/>
    </row>
    <row r="1129" spans="1:10" x14ac:dyDescent="0.2">
      <c r="A1129" s="82"/>
      <c r="B1129" s="70"/>
      <c r="C1129" s="70"/>
      <c r="D1129" s="8"/>
      <c r="E1129" s="8"/>
      <c r="I1129" s="8"/>
      <c r="J1129" s="8"/>
    </row>
    <row r="1130" spans="1:10" x14ac:dyDescent="0.2">
      <c r="A1130" s="82"/>
      <c r="B1130" s="70"/>
      <c r="C1130" s="70"/>
      <c r="D1130" s="8"/>
      <c r="E1130" s="8"/>
      <c r="I1130" s="8"/>
      <c r="J1130" s="8"/>
    </row>
    <row r="1131" spans="1:10" x14ac:dyDescent="0.2">
      <c r="A1131" s="82"/>
      <c r="B1131" s="70"/>
      <c r="C1131" s="70"/>
      <c r="D1131" s="8"/>
      <c r="E1131" s="8"/>
      <c r="I1131" s="8"/>
      <c r="J1131" s="8"/>
    </row>
    <row r="1132" spans="1:10" x14ac:dyDescent="0.2">
      <c r="A1132" s="82"/>
      <c r="B1132" s="70"/>
      <c r="C1132" s="70"/>
      <c r="D1132" s="8"/>
      <c r="E1132" s="8"/>
      <c r="I1132" s="8"/>
      <c r="J1132" s="8"/>
    </row>
    <row r="1133" spans="1:10" x14ac:dyDescent="0.2">
      <c r="A1133" s="82"/>
      <c r="B1133" s="70"/>
      <c r="C1133" s="70"/>
      <c r="D1133" s="8"/>
      <c r="E1133" s="8"/>
      <c r="I1133" s="8"/>
      <c r="J1133" s="8"/>
    </row>
    <row r="1134" spans="1:10" x14ac:dyDescent="0.2">
      <c r="A1134" s="82"/>
      <c r="B1134" s="70"/>
      <c r="C1134" s="70"/>
      <c r="D1134" s="8"/>
      <c r="E1134" s="8"/>
      <c r="I1134" s="8"/>
      <c r="J1134" s="8"/>
    </row>
    <row r="1135" spans="1:10" x14ac:dyDescent="0.2">
      <c r="A1135" s="82"/>
      <c r="B1135" s="70"/>
      <c r="C1135" s="70"/>
      <c r="D1135" s="8"/>
      <c r="E1135" s="8"/>
      <c r="I1135" s="8"/>
      <c r="J1135" s="8"/>
    </row>
    <row r="1136" spans="1:10" x14ac:dyDescent="0.2">
      <c r="A1136" s="82"/>
      <c r="B1136" s="70"/>
      <c r="C1136" s="70"/>
      <c r="D1136" s="8"/>
      <c r="E1136" s="8"/>
      <c r="I1136" s="8"/>
      <c r="J1136" s="8"/>
    </row>
    <row r="1137" spans="1:10" x14ac:dyDescent="0.2">
      <c r="A1137" s="82"/>
      <c r="B1137" s="70"/>
      <c r="C1137" s="70"/>
      <c r="D1137" s="8"/>
      <c r="E1137" s="8"/>
      <c r="I1137" s="8"/>
      <c r="J1137" s="8"/>
    </row>
    <row r="1138" spans="1:10" x14ac:dyDescent="0.2">
      <c r="A1138" s="82"/>
      <c r="B1138" s="70"/>
      <c r="C1138" s="70"/>
      <c r="D1138" s="8"/>
      <c r="E1138" s="8"/>
      <c r="I1138" s="8"/>
      <c r="J1138" s="8"/>
    </row>
    <row r="1139" spans="1:10" x14ac:dyDescent="0.2">
      <c r="A1139" s="82"/>
      <c r="B1139" s="70"/>
      <c r="C1139" s="70"/>
      <c r="D1139" s="8"/>
      <c r="E1139" s="8"/>
      <c r="I1139" s="8"/>
      <c r="J1139" s="8"/>
    </row>
    <row r="1140" spans="1:10" x14ac:dyDescent="0.2">
      <c r="A1140" s="82"/>
      <c r="B1140" s="70"/>
      <c r="C1140" s="70"/>
      <c r="D1140" s="8"/>
      <c r="E1140" s="8"/>
      <c r="I1140" s="8"/>
      <c r="J1140" s="8"/>
    </row>
    <row r="1141" spans="1:10" x14ac:dyDescent="0.2">
      <c r="A1141" s="82"/>
      <c r="B1141" s="70"/>
      <c r="C1141" s="70"/>
      <c r="D1141" s="8"/>
      <c r="E1141" s="8"/>
      <c r="I1141" s="8"/>
      <c r="J1141" s="8"/>
    </row>
    <row r="1142" spans="1:10" x14ac:dyDescent="0.2">
      <c r="A1142" s="82"/>
      <c r="B1142" s="70"/>
      <c r="C1142" s="70"/>
      <c r="D1142" s="8"/>
      <c r="E1142" s="8"/>
      <c r="I1142" s="8"/>
      <c r="J1142" s="8"/>
    </row>
    <row r="1143" spans="1:10" x14ac:dyDescent="0.2">
      <c r="A1143" s="82"/>
      <c r="B1143" s="70"/>
      <c r="C1143" s="70"/>
      <c r="D1143" s="8"/>
      <c r="E1143" s="8"/>
      <c r="I1143" s="8"/>
      <c r="J1143" s="8"/>
    </row>
    <row r="1144" spans="1:10" x14ac:dyDescent="0.2">
      <c r="A1144" s="82"/>
      <c r="B1144" s="70"/>
      <c r="C1144" s="70"/>
      <c r="D1144" s="8"/>
      <c r="E1144" s="8"/>
      <c r="I1144" s="8"/>
      <c r="J1144" s="8"/>
    </row>
    <row r="1145" spans="1:10" x14ac:dyDescent="0.2">
      <c r="A1145" s="82"/>
      <c r="B1145" s="70"/>
      <c r="C1145" s="70"/>
      <c r="D1145" s="8"/>
      <c r="E1145" s="8"/>
      <c r="I1145" s="8"/>
      <c r="J1145" s="8"/>
    </row>
    <row r="1146" spans="1:10" x14ac:dyDescent="0.2">
      <c r="A1146" s="82"/>
      <c r="B1146" s="70"/>
      <c r="C1146" s="70"/>
      <c r="D1146" s="8"/>
      <c r="E1146" s="8"/>
      <c r="I1146" s="8"/>
      <c r="J1146" s="8"/>
    </row>
    <row r="1147" spans="1:10" x14ac:dyDescent="0.2">
      <c r="A1147" s="82"/>
      <c r="B1147" s="70"/>
      <c r="C1147" s="70"/>
      <c r="D1147" s="8"/>
      <c r="E1147" s="8"/>
      <c r="I1147" s="8"/>
      <c r="J1147" s="8"/>
    </row>
    <row r="1148" spans="1:10" x14ac:dyDescent="0.2">
      <c r="A1148" s="82"/>
      <c r="B1148" s="70"/>
      <c r="C1148" s="70"/>
      <c r="D1148" s="8"/>
      <c r="E1148" s="8"/>
      <c r="I1148" s="8"/>
      <c r="J1148" s="8"/>
    </row>
    <row r="1149" spans="1:10" x14ac:dyDescent="0.2">
      <c r="A1149" s="82"/>
      <c r="B1149" s="70"/>
      <c r="C1149" s="70"/>
      <c r="D1149" s="8"/>
      <c r="E1149" s="8"/>
      <c r="I1149" s="8"/>
      <c r="J1149" s="8"/>
    </row>
    <row r="1150" spans="1:10" x14ac:dyDescent="0.2">
      <c r="A1150" s="82"/>
      <c r="B1150" s="70"/>
      <c r="C1150" s="70"/>
      <c r="D1150" s="8"/>
      <c r="E1150" s="8"/>
      <c r="I1150" s="8"/>
      <c r="J1150" s="8"/>
    </row>
    <row r="1151" spans="1:10" x14ac:dyDescent="0.2">
      <c r="A1151" s="82"/>
      <c r="B1151" s="70"/>
      <c r="C1151" s="70"/>
      <c r="D1151" s="8"/>
      <c r="E1151" s="8"/>
      <c r="I1151" s="8"/>
      <c r="J1151" s="8"/>
    </row>
    <row r="1152" spans="1:10" x14ac:dyDescent="0.2">
      <c r="A1152" s="82"/>
      <c r="B1152" s="70"/>
      <c r="C1152" s="70"/>
      <c r="D1152" s="8"/>
      <c r="E1152" s="8"/>
      <c r="I1152" s="8"/>
      <c r="J1152" s="8"/>
    </row>
    <row r="1153" spans="1:10" x14ac:dyDescent="0.2">
      <c r="A1153" s="82"/>
      <c r="B1153" s="70"/>
      <c r="C1153" s="70"/>
      <c r="D1153" s="8"/>
      <c r="E1153" s="8"/>
      <c r="I1153" s="8"/>
      <c r="J1153" s="8"/>
    </row>
    <row r="1154" spans="1:10" x14ac:dyDescent="0.2">
      <c r="A1154" s="82"/>
      <c r="B1154" s="70"/>
      <c r="C1154" s="70"/>
      <c r="D1154" s="8"/>
      <c r="E1154" s="8"/>
      <c r="I1154" s="8"/>
      <c r="J1154" s="8"/>
    </row>
    <row r="1155" spans="1:10" x14ac:dyDescent="0.2">
      <c r="A1155" s="82"/>
      <c r="B1155" s="70"/>
      <c r="C1155" s="70"/>
      <c r="D1155" s="8"/>
      <c r="E1155" s="8"/>
      <c r="I1155" s="8"/>
      <c r="J1155" s="8"/>
    </row>
    <row r="1156" spans="1:10" x14ac:dyDescent="0.2">
      <c r="A1156" s="82"/>
      <c r="B1156" s="70"/>
      <c r="C1156" s="70"/>
      <c r="D1156" s="8"/>
      <c r="E1156" s="8"/>
      <c r="I1156" s="8"/>
      <c r="J1156" s="8"/>
    </row>
    <row r="1157" spans="1:10" x14ac:dyDescent="0.2">
      <c r="A1157" s="82"/>
      <c r="B1157" s="70"/>
      <c r="C1157" s="70"/>
      <c r="D1157" s="8"/>
      <c r="E1157" s="8"/>
      <c r="I1157" s="8"/>
      <c r="J1157" s="8"/>
    </row>
    <row r="1158" spans="1:10" x14ac:dyDescent="0.2">
      <c r="A1158" s="82"/>
      <c r="B1158" s="70"/>
      <c r="C1158" s="70"/>
      <c r="D1158" s="8"/>
      <c r="E1158" s="8"/>
      <c r="I1158" s="8"/>
      <c r="J1158" s="8"/>
    </row>
    <row r="1159" spans="1:10" x14ac:dyDescent="0.2">
      <c r="A1159" s="82"/>
      <c r="B1159" s="70"/>
      <c r="C1159" s="70"/>
      <c r="D1159" s="8"/>
      <c r="E1159" s="8"/>
      <c r="I1159" s="8"/>
      <c r="J1159" s="8"/>
    </row>
    <row r="1160" spans="1:10" x14ac:dyDescent="0.2">
      <c r="A1160" s="82"/>
      <c r="B1160" s="70"/>
      <c r="C1160" s="70"/>
      <c r="D1160" s="8"/>
      <c r="E1160" s="8"/>
      <c r="I1160" s="8"/>
      <c r="J1160" s="8"/>
    </row>
    <row r="1161" spans="1:10" x14ac:dyDescent="0.2">
      <c r="A1161" s="82"/>
      <c r="B1161" s="70"/>
      <c r="C1161" s="70"/>
      <c r="D1161" s="8"/>
      <c r="E1161" s="8"/>
      <c r="I1161" s="8"/>
      <c r="J1161" s="8"/>
    </row>
    <row r="1162" spans="1:10" x14ac:dyDescent="0.2">
      <c r="A1162" s="82"/>
      <c r="B1162" s="70"/>
      <c r="C1162" s="70"/>
      <c r="D1162" s="8"/>
      <c r="E1162" s="8"/>
      <c r="I1162" s="8"/>
      <c r="J1162" s="8"/>
    </row>
    <row r="1163" spans="1:10" x14ac:dyDescent="0.2">
      <c r="A1163" s="82"/>
      <c r="B1163" s="70"/>
      <c r="C1163" s="70"/>
      <c r="D1163" s="8"/>
      <c r="E1163" s="8"/>
      <c r="I1163" s="8"/>
      <c r="J1163" s="8"/>
    </row>
    <row r="1164" spans="1:10" x14ac:dyDescent="0.2">
      <c r="A1164" s="82"/>
      <c r="B1164" s="70"/>
      <c r="C1164" s="70"/>
      <c r="D1164" s="8"/>
      <c r="E1164" s="8"/>
      <c r="I1164" s="8"/>
      <c r="J1164" s="8"/>
    </row>
    <row r="1165" spans="1:10" x14ac:dyDescent="0.2">
      <c r="A1165" s="82"/>
      <c r="B1165" s="70"/>
      <c r="C1165" s="70"/>
      <c r="D1165" s="8"/>
      <c r="E1165" s="8"/>
      <c r="I1165" s="8"/>
      <c r="J1165" s="8"/>
    </row>
    <row r="1166" spans="1:10" x14ac:dyDescent="0.2">
      <c r="A1166" s="82"/>
      <c r="B1166" s="70"/>
      <c r="C1166" s="70"/>
      <c r="D1166" s="8"/>
      <c r="E1166" s="8"/>
      <c r="I1166" s="8"/>
      <c r="J1166" s="8"/>
    </row>
    <row r="1167" spans="1:10" x14ac:dyDescent="0.2">
      <c r="A1167" s="82"/>
      <c r="B1167" s="70"/>
      <c r="C1167" s="70"/>
      <c r="D1167" s="8"/>
      <c r="E1167" s="8"/>
      <c r="I1167" s="8"/>
      <c r="J1167" s="8"/>
    </row>
    <row r="1168" spans="1:10" x14ac:dyDescent="0.2">
      <c r="A1168" s="82"/>
      <c r="B1168" s="70"/>
      <c r="C1168" s="70"/>
      <c r="D1168" s="8"/>
      <c r="E1168" s="8"/>
      <c r="I1168" s="8"/>
      <c r="J1168" s="8"/>
    </row>
    <row r="1169" spans="1:10" x14ac:dyDescent="0.2">
      <c r="A1169" s="82"/>
      <c r="B1169" s="70"/>
      <c r="C1169" s="70"/>
      <c r="D1169" s="8"/>
      <c r="E1169" s="8"/>
      <c r="I1169" s="8"/>
      <c r="J1169" s="8"/>
    </row>
    <row r="1170" spans="1:10" x14ac:dyDescent="0.2">
      <c r="A1170" s="82"/>
      <c r="B1170" s="70"/>
      <c r="C1170" s="70"/>
      <c r="D1170" s="8"/>
      <c r="E1170" s="8"/>
      <c r="I1170" s="8"/>
      <c r="J1170" s="8"/>
    </row>
    <row r="1171" spans="1:10" x14ac:dyDescent="0.2">
      <c r="A1171" s="82"/>
      <c r="B1171" s="70"/>
      <c r="C1171" s="70"/>
      <c r="D1171" s="8"/>
      <c r="E1171" s="8"/>
      <c r="I1171" s="8"/>
      <c r="J1171" s="8"/>
    </row>
    <row r="1172" spans="1:10" x14ac:dyDescent="0.2">
      <c r="A1172" s="82"/>
      <c r="B1172" s="70"/>
      <c r="C1172" s="70"/>
      <c r="D1172" s="8"/>
      <c r="E1172" s="8"/>
      <c r="I1172" s="8"/>
      <c r="J1172" s="8"/>
    </row>
    <row r="1173" spans="1:10" x14ac:dyDescent="0.2">
      <c r="A1173" s="82"/>
      <c r="B1173" s="70"/>
      <c r="C1173" s="70"/>
      <c r="D1173" s="8"/>
      <c r="E1173" s="8"/>
      <c r="I1173" s="8"/>
      <c r="J1173" s="8"/>
    </row>
    <row r="1174" spans="1:10" x14ac:dyDescent="0.2">
      <c r="A1174" s="82"/>
      <c r="B1174" s="70"/>
      <c r="C1174" s="70"/>
      <c r="D1174" s="8"/>
      <c r="E1174" s="8"/>
      <c r="I1174" s="8"/>
      <c r="J1174" s="8"/>
    </row>
    <row r="1175" spans="1:10" x14ac:dyDescent="0.2">
      <c r="A1175" s="82"/>
      <c r="B1175" s="70"/>
      <c r="C1175" s="70"/>
      <c r="D1175" s="8"/>
      <c r="E1175" s="8"/>
      <c r="I1175" s="8"/>
      <c r="J1175" s="8"/>
    </row>
    <row r="1176" spans="1:10" x14ac:dyDescent="0.2">
      <c r="A1176" s="82"/>
      <c r="B1176" s="70"/>
      <c r="C1176" s="70"/>
      <c r="D1176" s="8"/>
      <c r="E1176" s="8"/>
      <c r="I1176" s="8"/>
      <c r="J1176" s="8"/>
    </row>
    <row r="1177" spans="1:10" x14ac:dyDescent="0.2">
      <c r="A1177" s="82"/>
      <c r="B1177" s="70"/>
      <c r="C1177" s="70"/>
      <c r="D1177" s="8"/>
      <c r="E1177" s="8"/>
      <c r="I1177" s="8"/>
      <c r="J1177" s="8"/>
    </row>
    <row r="1178" spans="1:10" x14ac:dyDescent="0.2">
      <c r="A1178" s="82"/>
      <c r="B1178" s="70"/>
      <c r="C1178" s="70"/>
      <c r="D1178" s="8"/>
      <c r="E1178" s="8"/>
      <c r="I1178" s="8"/>
      <c r="J1178" s="8"/>
    </row>
    <row r="1179" spans="1:10" x14ac:dyDescent="0.2">
      <c r="A1179" s="82"/>
      <c r="B1179" s="70"/>
      <c r="C1179" s="70"/>
      <c r="D1179" s="8"/>
      <c r="E1179" s="8"/>
      <c r="I1179" s="8"/>
      <c r="J1179" s="8"/>
    </row>
    <row r="1180" spans="1:10" x14ac:dyDescent="0.2">
      <c r="A1180" s="82"/>
      <c r="B1180" s="70"/>
      <c r="C1180" s="70"/>
      <c r="D1180" s="8"/>
      <c r="E1180" s="8"/>
      <c r="I1180" s="8"/>
      <c r="J1180" s="8"/>
    </row>
    <row r="1181" spans="1:10" x14ac:dyDescent="0.2">
      <c r="A1181" s="82"/>
      <c r="B1181" s="70"/>
      <c r="C1181" s="70"/>
      <c r="D1181" s="8"/>
      <c r="E1181" s="8"/>
      <c r="I1181" s="8"/>
      <c r="J1181" s="8"/>
    </row>
    <row r="1182" spans="1:10" x14ac:dyDescent="0.2">
      <c r="A1182" s="82"/>
      <c r="B1182" s="70"/>
      <c r="C1182" s="70"/>
      <c r="D1182" s="8"/>
      <c r="E1182" s="8"/>
      <c r="I1182" s="8"/>
      <c r="J1182" s="8"/>
    </row>
    <row r="1183" spans="1:10" x14ac:dyDescent="0.2">
      <c r="A1183" s="82"/>
      <c r="B1183" s="70"/>
      <c r="C1183" s="70"/>
      <c r="D1183" s="8"/>
      <c r="E1183" s="8"/>
      <c r="I1183" s="8"/>
      <c r="J1183" s="8"/>
    </row>
    <row r="1184" spans="1:10" x14ac:dyDescent="0.2">
      <c r="A1184" s="82"/>
      <c r="B1184" s="70"/>
      <c r="C1184" s="70"/>
      <c r="D1184" s="8"/>
      <c r="E1184" s="8"/>
      <c r="I1184" s="8"/>
      <c r="J1184" s="8"/>
    </row>
    <row r="1185" spans="1:10" x14ac:dyDescent="0.2">
      <c r="A1185" s="82"/>
      <c r="B1185" s="70"/>
      <c r="C1185" s="70"/>
      <c r="D1185" s="8"/>
      <c r="E1185" s="8"/>
      <c r="I1185" s="8"/>
      <c r="J1185" s="8"/>
    </row>
    <row r="1186" spans="1:10" x14ac:dyDescent="0.2">
      <c r="A1186" s="82"/>
      <c r="B1186" s="70"/>
      <c r="C1186" s="70"/>
      <c r="D1186" s="8"/>
      <c r="E1186" s="8"/>
      <c r="I1186" s="8"/>
      <c r="J1186" s="8"/>
    </row>
    <row r="1187" spans="1:10" x14ac:dyDescent="0.2">
      <c r="A1187" s="82"/>
      <c r="B1187" s="70"/>
      <c r="C1187" s="70"/>
      <c r="D1187" s="8"/>
      <c r="E1187" s="8"/>
      <c r="I1187" s="8"/>
      <c r="J1187" s="8"/>
    </row>
    <row r="1188" spans="1:10" x14ac:dyDescent="0.2">
      <c r="A1188" s="82"/>
      <c r="B1188" s="70"/>
      <c r="C1188" s="70"/>
      <c r="D1188" s="8"/>
      <c r="E1188" s="8"/>
      <c r="I1188" s="8"/>
      <c r="J1188" s="8"/>
    </row>
    <row r="1189" spans="1:10" x14ac:dyDescent="0.2">
      <c r="A1189" s="82"/>
      <c r="B1189" s="70"/>
      <c r="C1189" s="70"/>
      <c r="D1189" s="8"/>
      <c r="E1189" s="8"/>
      <c r="I1189" s="8"/>
      <c r="J1189" s="8"/>
    </row>
    <row r="1190" spans="1:10" x14ac:dyDescent="0.2">
      <c r="A1190" s="82"/>
      <c r="B1190" s="70"/>
      <c r="C1190" s="70"/>
      <c r="D1190" s="8"/>
      <c r="E1190" s="8"/>
      <c r="I1190" s="8"/>
      <c r="J1190" s="8"/>
    </row>
    <row r="1191" spans="1:10" x14ac:dyDescent="0.2">
      <c r="A1191" s="82"/>
      <c r="B1191" s="70"/>
      <c r="C1191" s="70"/>
      <c r="D1191" s="8"/>
      <c r="E1191" s="8"/>
      <c r="I1191" s="8"/>
      <c r="J1191" s="8"/>
    </row>
    <row r="1192" spans="1:10" x14ac:dyDescent="0.2">
      <c r="A1192" s="82"/>
      <c r="B1192" s="70"/>
      <c r="C1192" s="70"/>
      <c r="D1192" s="8"/>
      <c r="E1192" s="8"/>
      <c r="I1192" s="8"/>
      <c r="J1192" s="8"/>
    </row>
    <row r="1193" spans="1:10" x14ac:dyDescent="0.2">
      <c r="A1193" s="82"/>
      <c r="B1193" s="70"/>
      <c r="C1193" s="70"/>
      <c r="D1193" s="8"/>
      <c r="E1193" s="8"/>
      <c r="I1193" s="8"/>
      <c r="J1193" s="8"/>
    </row>
    <row r="1194" spans="1:10" x14ac:dyDescent="0.2">
      <c r="A1194" s="82"/>
      <c r="B1194" s="70"/>
      <c r="C1194" s="70"/>
      <c r="D1194" s="8"/>
      <c r="E1194" s="8"/>
      <c r="I1194" s="8"/>
      <c r="J1194" s="8"/>
    </row>
    <row r="1195" spans="1:10" x14ac:dyDescent="0.2">
      <c r="A1195" s="82"/>
      <c r="B1195" s="70"/>
      <c r="C1195" s="70"/>
      <c r="D1195" s="8"/>
      <c r="E1195" s="8"/>
      <c r="I1195" s="8"/>
      <c r="J1195" s="8"/>
    </row>
    <row r="1196" spans="1:10" x14ac:dyDescent="0.2">
      <c r="A1196" s="82"/>
      <c r="B1196" s="70"/>
      <c r="C1196" s="70"/>
      <c r="D1196" s="8"/>
      <c r="E1196" s="8"/>
      <c r="I1196" s="8"/>
      <c r="J1196" s="8"/>
    </row>
    <row r="1197" spans="1:10" x14ac:dyDescent="0.2">
      <c r="A1197" s="82"/>
      <c r="B1197" s="70"/>
      <c r="C1197" s="70"/>
      <c r="D1197" s="8"/>
      <c r="E1197" s="8"/>
      <c r="I1197" s="8"/>
      <c r="J1197" s="8"/>
    </row>
    <row r="1198" spans="1:10" x14ac:dyDescent="0.2">
      <c r="A1198" s="82"/>
      <c r="B1198" s="70"/>
      <c r="C1198" s="70"/>
      <c r="D1198" s="8"/>
      <c r="E1198" s="8"/>
      <c r="I1198" s="8"/>
      <c r="J1198" s="8"/>
    </row>
    <row r="1199" spans="1:10" x14ac:dyDescent="0.2">
      <c r="A1199" s="82"/>
      <c r="B1199" s="70"/>
      <c r="C1199" s="70"/>
      <c r="D1199" s="8"/>
      <c r="E1199" s="8"/>
      <c r="I1199" s="8"/>
      <c r="J1199" s="8"/>
    </row>
    <row r="1200" spans="1:10" x14ac:dyDescent="0.2">
      <c r="A1200" s="82"/>
      <c r="B1200" s="70"/>
      <c r="C1200" s="70"/>
      <c r="D1200" s="8"/>
      <c r="E1200" s="8"/>
      <c r="I1200" s="8"/>
      <c r="J1200" s="8"/>
    </row>
    <row r="1201" spans="1:10" x14ac:dyDescent="0.2">
      <c r="A1201" s="82"/>
      <c r="B1201" s="70"/>
      <c r="C1201" s="70"/>
      <c r="D1201" s="8"/>
      <c r="E1201" s="8"/>
      <c r="I1201" s="8"/>
      <c r="J1201" s="8"/>
    </row>
    <row r="1202" spans="1:10" x14ac:dyDescent="0.2">
      <c r="A1202" s="82"/>
      <c r="B1202" s="70"/>
      <c r="C1202" s="70"/>
      <c r="D1202" s="8"/>
      <c r="E1202" s="8"/>
      <c r="I1202" s="8"/>
      <c r="J1202" s="8"/>
    </row>
    <row r="1203" spans="1:10" x14ac:dyDescent="0.2">
      <c r="A1203" s="82"/>
      <c r="B1203" s="70"/>
      <c r="C1203" s="70"/>
      <c r="D1203" s="8"/>
      <c r="E1203" s="8"/>
      <c r="I1203" s="8"/>
      <c r="J1203" s="8"/>
    </row>
    <row r="1204" spans="1:10" x14ac:dyDescent="0.2">
      <c r="A1204" s="82"/>
      <c r="B1204" s="70"/>
      <c r="C1204" s="70"/>
      <c r="D1204" s="8"/>
      <c r="E1204" s="8"/>
      <c r="I1204" s="8"/>
      <c r="J1204" s="8"/>
    </row>
    <row r="1205" spans="1:10" x14ac:dyDescent="0.2">
      <c r="A1205" s="82"/>
      <c r="B1205" s="70"/>
      <c r="C1205" s="70"/>
      <c r="D1205" s="8"/>
      <c r="E1205" s="8"/>
      <c r="I1205" s="8"/>
      <c r="J1205" s="8"/>
    </row>
    <row r="1206" spans="1:10" x14ac:dyDescent="0.2">
      <c r="A1206" s="82"/>
      <c r="B1206" s="70"/>
      <c r="C1206" s="70"/>
      <c r="D1206" s="8"/>
      <c r="E1206" s="8"/>
      <c r="I1206" s="8"/>
      <c r="J1206" s="8"/>
    </row>
    <row r="1207" spans="1:10" x14ac:dyDescent="0.2">
      <c r="A1207" s="82"/>
      <c r="B1207" s="70"/>
      <c r="C1207" s="70"/>
      <c r="D1207" s="8"/>
      <c r="E1207" s="8"/>
      <c r="I1207" s="8"/>
      <c r="J1207" s="8"/>
    </row>
    <row r="1208" spans="1:10" x14ac:dyDescent="0.2">
      <c r="A1208" s="82"/>
      <c r="B1208" s="70"/>
      <c r="C1208" s="70"/>
      <c r="D1208" s="8"/>
      <c r="E1208" s="8"/>
      <c r="I1208" s="8"/>
      <c r="J1208" s="8"/>
    </row>
    <row r="1209" spans="1:10" x14ac:dyDescent="0.2">
      <c r="A1209" s="82"/>
      <c r="B1209" s="70"/>
      <c r="C1209" s="70"/>
      <c r="D1209" s="8"/>
      <c r="E1209" s="8"/>
      <c r="I1209" s="8"/>
      <c r="J1209" s="8"/>
    </row>
    <row r="1210" spans="1:10" x14ac:dyDescent="0.2">
      <c r="A1210" s="82"/>
      <c r="B1210" s="70"/>
      <c r="C1210" s="70"/>
      <c r="D1210" s="8"/>
      <c r="E1210" s="8"/>
      <c r="I1210" s="8"/>
      <c r="J1210" s="8"/>
    </row>
    <row r="1211" spans="1:10" x14ac:dyDescent="0.2">
      <c r="A1211" s="82"/>
      <c r="B1211" s="70"/>
      <c r="C1211" s="70"/>
      <c r="D1211" s="8"/>
      <c r="E1211" s="8"/>
      <c r="I1211" s="8"/>
      <c r="J1211" s="8"/>
    </row>
    <row r="1212" spans="1:10" x14ac:dyDescent="0.2">
      <c r="A1212" s="82"/>
      <c r="B1212" s="70"/>
      <c r="C1212" s="70"/>
      <c r="D1212" s="8"/>
      <c r="E1212" s="8"/>
      <c r="I1212" s="8"/>
      <c r="J1212" s="8"/>
    </row>
    <row r="1213" spans="1:10" x14ac:dyDescent="0.2">
      <c r="A1213" s="82"/>
      <c r="B1213" s="70"/>
      <c r="C1213" s="70"/>
      <c r="D1213" s="8"/>
      <c r="E1213" s="8"/>
      <c r="I1213" s="8"/>
      <c r="J1213" s="8"/>
    </row>
    <row r="1214" spans="1:10" x14ac:dyDescent="0.2">
      <c r="A1214" s="82"/>
      <c r="B1214" s="70"/>
      <c r="C1214" s="70"/>
      <c r="D1214" s="8"/>
      <c r="E1214" s="8"/>
      <c r="I1214" s="8"/>
      <c r="J1214" s="8"/>
    </row>
    <row r="1215" spans="1:10" x14ac:dyDescent="0.2">
      <c r="A1215" s="82"/>
      <c r="B1215" s="70"/>
      <c r="C1215" s="70"/>
      <c r="D1215" s="8"/>
      <c r="E1215" s="8"/>
      <c r="I1215" s="8"/>
      <c r="J1215" s="8"/>
    </row>
    <row r="1216" spans="1:10" x14ac:dyDescent="0.2">
      <c r="A1216" s="82"/>
      <c r="B1216" s="70"/>
      <c r="C1216" s="70"/>
      <c r="D1216" s="8"/>
      <c r="E1216" s="8"/>
      <c r="I1216" s="8"/>
      <c r="J1216" s="8"/>
    </row>
    <row r="1217" spans="1:10" x14ac:dyDescent="0.2">
      <c r="A1217" s="82"/>
      <c r="B1217" s="70"/>
      <c r="C1217" s="70"/>
      <c r="D1217" s="8"/>
      <c r="E1217" s="8"/>
      <c r="I1217" s="8"/>
      <c r="J1217" s="8"/>
    </row>
    <row r="1218" spans="1:10" x14ac:dyDescent="0.2">
      <c r="A1218" s="82"/>
      <c r="B1218" s="70"/>
      <c r="C1218" s="70"/>
      <c r="D1218" s="8"/>
      <c r="E1218" s="8"/>
      <c r="I1218" s="8"/>
      <c r="J1218" s="8"/>
    </row>
    <row r="1219" spans="1:10" x14ac:dyDescent="0.2">
      <c r="A1219" s="82"/>
      <c r="B1219" s="70"/>
      <c r="C1219" s="70"/>
      <c r="D1219" s="8"/>
      <c r="E1219" s="8"/>
      <c r="I1219" s="8"/>
      <c r="J1219" s="8"/>
    </row>
    <row r="1220" spans="1:10" x14ac:dyDescent="0.2">
      <c r="A1220" s="82"/>
      <c r="B1220" s="70"/>
      <c r="C1220" s="70"/>
      <c r="D1220" s="8"/>
      <c r="E1220" s="8"/>
      <c r="I1220" s="8"/>
      <c r="J1220" s="8"/>
    </row>
    <row r="1221" spans="1:10" x14ac:dyDescent="0.2">
      <c r="A1221" s="82"/>
      <c r="B1221" s="70"/>
      <c r="C1221" s="70"/>
      <c r="D1221" s="8"/>
      <c r="E1221" s="8"/>
      <c r="I1221" s="8"/>
      <c r="J1221" s="8"/>
    </row>
    <row r="1222" spans="1:10" x14ac:dyDescent="0.2">
      <c r="A1222" s="82"/>
      <c r="B1222" s="70"/>
      <c r="C1222" s="70"/>
      <c r="D1222" s="8"/>
      <c r="E1222" s="8"/>
      <c r="I1222" s="8"/>
      <c r="J1222" s="8"/>
    </row>
    <row r="1223" spans="1:10" x14ac:dyDescent="0.2">
      <c r="A1223" s="82"/>
      <c r="B1223" s="70"/>
      <c r="C1223" s="70"/>
      <c r="D1223" s="8"/>
      <c r="E1223" s="8"/>
      <c r="I1223" s="8"/>
      <c r="J1223" s="8"/>
    </row>
    <row r="1224" spans="1:10" x14ac:dyDescent="0.2">
      <c r="A1224" s="82"/>
      <c r="B1224" s="70"/>
      <c r="C1224" s="70"/>
      <c r="D1224" s="8"/>
      <c r="E1224" s="8"/>
      <c r="I1224" s="8"/>
      <c r="J1224" s="8"/>
    </row>
    <row r="1225" spans="1:10" x14ac:dyDescent="0.2">
      <c r="A1225" s="82"/>
      <c r="B1225" s="70"/>
      <c r="C1225" s="70"/>
      <c r="D1225" s="8"/>
      <c r="E1225" s="8"/>
      <c r="I1225" s="8"/>
      <c r="J1225" s="8"/>
    </row>
    <row r="1226" spans="1:10" x14ac:dyDescent="0.2">
      <c r="A1226" s="82"/>
      <c r="B1226" s="70"/>
      <c r="C1226" s="70"/>
      <c r="D1226" s="8"/>
      <c r="E1226" s="8"/>
      <c r="I1226" s="8"/>
      <c r="J1226" s="8"/>
    </row>
    <row r="1227" spans="1:10" x14ac:dyDescent="0.2">
      <c r="A1227" s="82"/>
      <c r="B1227" s="70"/>
      <c r="C1227" s="70"/>
      <c r="D1227" s="8"/>
      <c r="E1227" s="8"/>
      <c r="I1227" s="8"/>
      <c r="J1227" s="8"/>
    </row>
    <row r="1228" spans="1:10" x14ac:dyDescent="0.2">
      <c r="A1228" s="82"/>
      <c r="B1228" s="70"/>
      <c r="C1228" s="70"/>
      <c r="D1228" s="8"/>
      <c r="E1228" s="8"/>
      <c r="I1228" s="8"/>
      <c r="J1228" s="8"/>
    </row>
    <row r="1229" spans="1:10" x14ac:dyDescent="0.2">
      <c r="A1229" s="82"/>
      <c r="B1229" s="70"/>
      <c r="C1229" s="70"/>
      <c r="D1229" s="8"/>
      <c r="E1229" s="8"/>
      <c r="I1229" s="8"/>
      <c r="J1229" s="8"/>
    </row>
    <row r="1230" spans="1:10" x14ac:dyDescent="0.2">
      <c r="A1230" s="82"/>
      <c r="B1230" s="70"/>
      <c r="C1230" s="70"/>
      <c r="D1230" s="8"/>
      <c r="E1230" s="8"/>
      <c r="I1230" s="8"/>
      <c r="J1230" s="8"/>
    </row>
    <row r="1231" spans="1:10" x14ac:dyDescent="0.2">
      <c r="A1231" s="82"/>
      <c r="B1231" s="70"/>
      <c r="C1231" s="70"/>
      <c r="D1231" s="8"/>
      <c r="E1231" s="8"/>
      <c r="I1231" s="8"/>
      <c r="J1231" s="8"/>
    </row>
    <row r="1232" spans="1:10" x14ac:dyDescent="0.2">
      <c r="A1232" s="82"/>
      <c r="B1232" s="70"/>
      <c r="C1232" s="70"/>
      <c r="D1232" s="8"/>
      <c r="E1232" s="8"/>
      <c r="I1232" s="8"/>
      <c r="J1232" s="8"/>
    </row>
    <row r="1233" spans="1:10" x14ac:dyDescent="0.2">
      <c r="A1233" s="82"/>
      <c r="B1233" s="70"/>
      <c r="C1233" s="70"/>
      <c r="D1233" s="8"/>
      <c r="E1233" s="8"/>
      <c r="I1233" s="8"/>
      <c r="J1233" s="8"/>
    </row>
    <row r="1234" spans="1:10" x14ac:dyDescent="0.2">
      <c r="A1234" s="82"/>
      <c r="B1234" s="70"/>
      <c r="C1234" s="70"/>
      <c r="D1234" s="8"/>
      <c r="E1234" s="8"/>
      <c r="I1234" s="8"/>
      <c r="J1234" s="8"/>
    </row>
    <row r="1235" spans="1:10" x14ac:dyDescent="0.2">
      <c r="A1235" s="82"/>
      <c r="B1235" s="70"/>
      <c r="C1235" s="70"/>
      <c r="D1235" s="8"/>
      <c r="E1235" s="8"/>
      <c r="I1235" s="8"/>
      <c r="J1235" s="8"/>
    </row>
    <row r="1236" spans="1:10" x14ac:dyDescent="0.2">
      <c r="A1236" s="82"/>
      <c r="B1236" s="70"/>
      <c r="C1236" s="70"/>
      <c r="D1236" s="8"/>
      <c r="E1236" s="8"/>
      <c r="I1236" s="8"/>
      <c r="J1236" s="8"/>
    </row>
    <row r="1237" spans="1:10" x14ac:dyDescent="0.2">
      <c r="A1237" s="82"/>
      <c r="B1237" s="70"/>
      <c r="C1237" s="70"/>
      <c r="D1237" s="8"/>
      <c r="E1237" s="8"/>
      <c r="I1237" s="8"/>
      <c r="J1237" s="8"/>
    </row>
    <row r="1238" spans="1:10" x14ac:dyDescent="0.2">
      <c r="A1238" s="82"/>
      <c r="B1238" s="70"/>
      <c r="C1238" s="70"/>
      <c r="D1238" s="8"/>
      <c r="E1238" s="8"/>
      <c r="I1238" s="8"/>
      <c r="J1238" s="8"/>
    </row>
    <row r="1239" spans="1:10" x14ac:dyDescent="0.2">
      <c r="A1239" s="82"/>
      <c r="B1239" s="70"/>
      <c r="C1239" s="70"/>
      <c r="D1239" s="8"/>
      <c r="E1239" s="8"/>
      <c r="I1239" s="8"/>
      <c r="J1239" s="8"/>
    </row>
    <row r="1240" spans="1:10" x14ac:dyDescent="0.2">
      <c r="A1240" s="82"/>
      <c r="B1240" s="70"/>
      <c r="C1240" s="70"/>
      <c r="D1240" s="8"/>
      <c r="E1240" s="8"/>
      <c r="I1240" s="8"/>
      <c r="J1240" s="8"/>
    </row>
    <row r="1241" spans="1:10" x14ac:dyDescent="0.2">
      <c r="A1241" s="82"/>
      <c r="B1241" s="70"/>
      <c r="C1241" s="70"/>
      <c r="D1241" s="8"/>
      <c r="E1241" s="8"/>
      <c r="I1241" s="8"/>
      <c r="J1241" s="8"/>
    </row>
    <row r="1242" spans="1:10" x14ac:dyDescent="0.2">
      <c r="A1242" s="82"/>
      <c r="B1242" s="70"/>
      <c r="C1242" s="70"/>
      <c r="D1242" s="8"/>
      <c r="E1242" s="8"/>
      <c r="I1242" s="8"/>
      <c r="J1242" s="8"/>
    </row>
    <row r="1243" spans="1:10" x14ac:dyDescent="0.2">
      <c r="A1243" s="82"/>
      <c r="B1243" s="70"/>
      <c r="C1243" s="70"/>
      <c r="D1243" s="8"/>
      <c r="E1243" s="8"/>
      <c r="I1243" s="8"/>
      <c r="J1243" s="8"/>
    </row>
    <row r="1244" spans="1:10" x14ac:dyDescent="0.2">
      <c r="A1244" s="82"/>
      <c r="B1244" s="70"/>
      <c r="C1244" s="70"/>
      <c r="D1244" s="8"/>
      <c r="E1244" s="8"/>
      <c r="I1244" s="8"/>
      <c r="J1244" s="8"/>
    </row>
    <row r="1245" spans="1:10" x14ac:dyDescent="0.2">
      <c r="A1245" s="82"/>
      <c r="B1245" s="70"/>
      <c r="C1245" s="70"/>
      <c r="D1245" s="8"/>
      <c r="E1245" s="8"/>
      <c r="I1245" s="8"/>
      <c r="J1245" s="8"/>
    </row>
    <row r="1246" spans="1:10" x14ac:dyDescent="0.2">
      <c r="A1246" s="82"/>
      <c r="B1246" s="70"/>
      <c r="C1246" s="70"/>
      <c r="D1246" s="8"/>
      <c r="E1246" s="8"/>
      <c r="I1246" s="8"/>
      <c r="J1246" s="8"/>
    </row>
    <row r="1247" spans="1:10" x14ac:dyDescent="0.2">
      <c r="A1247" s="82"/>
      <c r="B1247" s="70"/>
      <c r="C1247" s="70"/>
      <c r="D1247" s="8"/>
      <c r="E1247" s="8"/>
      <c r="I1247" s="8"/>
      <c r="J1247" s="8"/>
    </row>
    <row r="1248" spans="1:10" x14ac:dyDescent="0.2">
      <c r="A1248" s="82"/>
      <c r="B1248" s="70"/>
      <c r="C1248" s="70"/>
      <c r="D1248" s="8"/>
      <c r="E1248" s="8"/>
      <c r="I1248" s="8"/>
      <c r="J1248" s="8"/>
    </row>
    <row r="1249" spans="1:10" x14ac:dyDescent="0.2">
      <c r="A1249" s="82"/>
      <c r="B1249" s="70"/>
      <c r="C1249" s="70"/>
      <c r="D1249" s="8"/>
      <c r="E1249" s="8"/>
      <c r="I1249" s="8"/>
      <c r="J1249" s="8"/>
    </row>
    <row r="1250" spans="1:10" x14ac:dyDescent="0.2">
      <c r="A1250" s="82"/>
      <c r="B1250" s="70"/>
      <c r="C1250" s="70"/>
      <c r="D1250" s="8"/>
      <c r="E1250" s="8"/>
      <c r="I1250" s="8"/>
      <c r="J1250" s="8"/>
    </row>
    <row r="1251" spans="1:10" x14ac:dyDescent="0.2">
      <c r="A1251" s="82"/>
      <c r="B1251" s="70"/>
      <c r="C1251" s="70"/>
      <c r="D1251" s="8"/>
      <c r="E1251" s="8"/>
      <c r="I1251" s="8"/>
      <c r="J1251" s="8"/>
    </row>
    <row r="1252" spans="1:10" x14ac:dyDescent="0.2">
      <c r="A1252" s="82"/>
      <c r="B1252" s="70"/>
      <c r="C1252" s="70"/>
      <c r="D1252" s="8"/>
      <c r="E1252" s="8"/>
      <c r="I1252" s="8"/>
      <c r="J1252" s="8"/>
    </row>
    <row r="1253" spans="1:10" x14ac:dyDescent="0.2">
      <c r="A1253" s="82"/>
      <c r="B1253" s="70"/>
      <c r="C1253" s="70"/>
      <c r="D1253" s="8"/>
      <c r="E1253" s="8"/>
      <c r="I1253" s="8"/>
      <c r="J1253" s="8"/>
    </row>
    <row r="1254" spans="1:10" x14ac:dyDescent="0.2">
      <c r="A1254" s="82"/>
      <c r="B1254" s="70"/>
      <c r="C1254" s="70"/>
      <c r="D1254" s="8"/>
      <c r="E1254" s="8"/>
      <c r="I1254" s="8"/>
      <c r="J1254" s="8"/>
    </row>
    <row r="1255" spans="1:10" x14ac:dyDescent="0.2">
      <c r="A1255" s="82"/>
      <c r="B1255" s="70"/>
      <c r="C1255" s="70"/>
      <c r="D1255" s="8"/>
      <c r="E1255" s="8"/>
      <c r="I1255" s="8"/>
      <c r="J1255" s="8"/>
    </row>
    <row r="1256" spans="1:10" x14ac:dyDescent="0.2">
      <c r="A1256" s="82"/>
      <c r="B1256" s="70"/>
      <c r="C1256" s="70"/>
      <c r="D1256" s="8"/>
      <c r="E1256" s="8"/>
      <c r="I1256" s="8"/>
      <c r="J1256" s="8"/>
    </row>
    <row r="1257" spans="1:10" x14ac:dyDescent="0.2">
      <c r="A1257" s="82"/>
      <c r="B1257" s="70"/>
      <c r="C1257" s="70"/>
      <c r="D1257" s="8"/>
      <c r="E1257" s="8"/>
      <c r="I1257" s="8"/>
      <c r="J1257" s="8"/>
    </row>
    <row r="1258" spans="1:10" x14ac:dyDescent="0.2">
      <c r="A1258" s="82"/>
      <c r="B1258" s="70"/>
      <c r="C1258" s="70"/>
      <c r="D1258" s="8"/>
      <c r="E1258" s="8"/>
      <c r="I1258" s="8"/>
      <c r="J1258" s="8"/>
    </row>
    <row r="1259" spans="1:10" x14ac:dyDescent="0.2">
      <c r="A1259" s="82"/>
      <c r="B1259" s="70"/>
      <c r="C1259" s="70"/>
      <c r="D1259" s="8"/>
      <c r="E1259" s="8"/>
      <c r="I1259" s="8"/>
      <c r="J1259" s="8"/>
    </row>
    <row r="1260" spans="1:10" x14ac:dyDescent="0.2">
      <c r="A1260" s="82"/>
      <c r="B1260" s="70"/>
      <c r="C1260" s="70"/>
      <c r="D1260" s="8"/>
      <c r="E1260" s="8"/>
      <c r="I1260" s="8"/>
      <c r="J1260" s="8"/>
    </row>
    <row r="1261" spans="1:10" x14ac:dyDescent="0.2">
      <c r="A1261" s="82"/>
      <c r="B1261" s="70"/>
      <c r="C1261" s="70"/>
      <c r="D1261" s="8"/>
      <c r="E1261" s="8"/>
      <c r="I1261" s="8"/>
      <c r="J1261" s="8"/>
    </row>
    <row r="1262" spans="1:10" x14ac:dyDescent="0.2">
      <c r="A1262" s="82"/>
      <c r="B1262" s="70"/>
      <c r="C1262" s="70"/>
      <c r="D1262" s="8"/>
      <c r="E1262" s="8"/>
      <c r="I1262" s="8"/>
      <c r="J1262" s="8"/>
    </row>
    <row r="1263" spans="1:10" x14ac:dyDescent="0.2">
      <c r="A1263" s="82"/>
      <c r="B1263" s="70"/>
      <c r="C1263" s="70"/>
      <c r="D1263" s="8"/>
      <c r="E1263" s="8"/>
      <c r="I1263" s="8"/>
      <c r="J1263" s="8"/>
    </row>
    <row r="1264" spans="1:10" x14ac:dyDescent="0.2">
      <c r="A1264" s="82"/>
      <c r="B1264" s="70"/>
      <c r="C1264" s="70"/>
      <c r="D1264" s="8"/>
      <c r="E1264" s="8"/>
      <c r="I1264" s="8"/>
      <c r="J1264" s="8"/>
    </row>
    <row r="1265" spans="1:10" x14ac:dyDescent="0.2">
      <c r="A1265" s="82"/>
      <c r="B1265" s="70"/>
      <c r="C1265" s="70"/>
      <c r="D1265" s="8"/>
      <c r="E1265" s="8"/>
      <c r="I1265" s="8"/>
      <c r="J1265" s="8"/>
    </row>
    <row r="1266" spans="1:10" x14ac:dyDescent="0.2">
      <c r="A1266" s="82"/>
      <c r="B1266" s="70"/>
      <c r="C1266" s="70"/>
      <c r="D1266" s="8"/>
      <c r="E1266" s="8"/>
      <c r="I1266" s="8"/>
      <c r="J1266" s="8"/>
    </row>
    <row r="1267" spans="1:10" x14ac:dyDescent="0.2">
      <c r="A1267" s="82"/>
      <c r="B1267" s="70"/>
      <c r="C1267" s="70"/>
      <c r="D1267" s="8"/>
      <c r="E1267" s="8"/>
      <c r="I1267" s="8"/>
      <c r="J1267" s="8"/>
    </row>
    <row r="1268" spans="1:10" x14ac:dyDescent="0.2">
      <c r="A1268" s="82"/>
      <c r="B1268" s="70"/>
      <c r="C1268" s="70"/>
      <c r="D1268" s="8"/>
      <c r="E1268" s="8"/>
      <c r="I1268" s="8"/>
      <c r="J1268" s="8"/>
    </row>
    <row r="1269" spans="1:10" x14ac:dyDescent="0.2">
      <c r="A1269" s="82"/>
      <c r="B1269" s="70"/>
      <c r="C1269" s="70"/>
      <c r="D1269" s="8"/>
      <c r="E1269" s="8"/>
      <c r="I1269" s="8"/>
      <c r="J1269" s="8"/>
    </row>
    <row r="1270" spans="1:10" x14ac:dyDescent="0.2">
      <c r="A1270" s="82"/>
      <c r="B1270" s="70"/>
      <c r="C1270" s="70"/>
      <c r="D1270" s="8"/>
      <c r="E1270" s="8"/>
      <c r="I1270" s="8"/>
      <c r="J1270" s="8"/>
    </row>
    <row r="1271" spans="1:10" x14ac:dyDescent="0.2">
      <c r="A1271" s="82"/>
      <c r="B1271" s="70"/>
      <c r="C1271" s="70"/>
      <c r="D1271" s="8"/>
      <c r="E1271" s="8"/>
    </row>
    <row r="1272" spans="1:10" x14ac:dyDescent="0.2">
      <c r="A1272" s="82"/>
      <c r="B1272" s="70"/>
      <c r="C1272" s="70"/>
      <c r="D1272" s="8"/>
      <c r="E1272" s="8"/>
    </row>
    <row r="1273" spans="1:10" x14ac:dyDescent="0.2">
      <c r="A1273" s="82"/>
      <c r="B1273" s="70"/>
      <c r="C1273" s="70"/>
      <c r="D1273" s="8"/>
      <c r="E1273" s="8"/>
    </row>
    <row r="1274" spans="1:10" x14ac:dyDescent="0.2">
      <c r="A1274" s="82"/>
      <c r="B1274" s="70"/>
      <c r="C1274" s="70"/>
      <c r="D1274" s="8"/>
      <c r="E1274" s="8"/>
    </row>
    <row r="1275" spans="1:10" x14ac:dyDescent="0.2">
      <c r="A1275" s="82"/>
      <c r="B1275" s="70"/>
      <c r="C1275" s="70"/>
      <c r="D1275" s="8"/>
      <c r="E1275" s="8"/>
    </row>
    <row r="1276" spans="1:10" x14ac:dyDescent="0.2">
      <c r="A1276" s="82"/>
      <c r="B1276" s="70"/>
      <c r="C1276" s="70"/>
      <c r="D1276" s="8"/>
      <c r="E1276" s="8"/>
    </row>
    <row r="1277" spans="1:10" x14ac:dyDescent="0.2">
      <c r="A1277" s="82"/>
      <c r="B1277" s="70"/>
      <c r="C1277" s="70"/>
      <c r="D1277" s="8"/>
      <c r="E1277" s="8"/>
    </row>
    <row r="1278" spans="1:10" x14ac:dyDescent="0.2">
      <c r="A1278" s="82"/>
      <c r="B1278" s="70"/>
      <c r="C1278" s="70"/>
      <c r="D1278" s="8"/>
      <c r="E1278" s="8"/>
    </row>
    <row r="1279" spans="1:10" x14ac:dyDescent="0.2">
      <c r="A1279" s="82"/>
      <c r="B1279" s="70"/>
      <c r="C1279" s="70"/>
      <c r="D1279" s="8"/>
      <c r="E1279" s="8"/>
    </row>
    <row r="1280" spans="1:10" x14ac:dyDescent="0.2">
      <c r="A1280" s="82"/>
      <c r="B1280" s="70"/>
      <c r="C1280" s="70"/>
      <c r="D1280" s="8"/>
      <c r="E1280" s="8"/>
    </row>
    <row r="1281" spans="1:5" x14ac:dyDescent="0.2">
      <c r="A1281" s="82"/>
      <c r="B1281" s="70"/>
      <c r="C1281" s="70"/>
      <c r="D1281" s="8"/>
      <c r="E1281" s="8"/>
    </row>
    <row r="1282" spans="1:5" x14ac:dyDescent="0.2">
      <c r="A1282" s="82"/>
      <c r="B1282" s="70"/>
      <c r="C1282" s="70"/>
      <c r="D1282" s="8"/>
      <c r="E1282" s="8"/>
    </row>
    <row r="1283" spans="1:5" x14ac:dyDescent="0.2">
      <c r="A1283" s="82"/>
      <c r="B1283" s="70"/>
      <c r="C1283" s="70"/>
      <c r="D1283" s="8"/>
      <c r="E1283" s="8"/>
    </row>
    <row r="1284" spans="1:5" x14ac:dyDescent="0.2">
      <c r="A1284" s="82"/>
      <c r="B1284" s="70"/>
      <c r="C1284" s="70"/>
      <c r="D1284" s="8"/>
      <c r="E1284" s="8"/>
    </row>
    <row r="1285" spans="1:5" x14ac:dyDescent="0.2">
      <c r="A1285" s="82"/>
      <c r="B1285" s="70"/>
      <c r="C1285" s="70"/>
      <c r="D1285" s="8"/>
      <c r="E1285" s="8"/>
    </row>
    <row r="1286" spans="1:5" x14ac:dyDescent="0.2">
      <c r="A1286" s="82"/>
      <c r="B1286" s="70"/>
      <c r="C1286" s="70"/>
      <c r="D1286" s="8"/>
      <c r="E1286" s="8"/>
    </row>
    <row r="1287" spans="1:5" x14ac:dyDescent="0.2">
      <c r="A1287" s="82"/>
      <c r="B1287" s="70"/>
      <c r="C1287" s="70"/>
      <c r="D1287" s="8"/>
      <c r="E1287" s="8"/>
    </row>
    <row r="1288" spans="1:5" x14ac:dyDescent="0.2">
      <c r="A1288" s="82"/>
      <c r="B1288" s="70"/>
      <c r="C1288" s="70"/>
      <c r="D1288" s="8"/>
      <c r="E1288" s="8"/>
    </row>
    <row r="1289" spans="1:5" x14ac:dyDescent="0.2">
      <c r="A1289" s="82"/>
      <c r="B1289" s="70"/>
      <c r="C1289" s="70"/>
      <c r="D1289" s="8"/>
      <c r="E1289" s="8"/>
    </row>
    <row r="1290" spans="1:5" x14ac:dyDescent="0.2">
      <c r="A1290" s="82"/>
      <c r="B1290" s="70"/>
      <c r="C1290" s="70"/>
      <c r="D1290" s="8"/>
      <c r="E1290" s="8"/>
    </row>
    <row r="1291" spans="1:5" x14ac:dyDescent="0.2">
      <c r="A1291" s="82"/>
      <c r="B1291" s="70"/>
      <c r="C1291" s="70"/>
      <c r="D1291" s="8"/>
      <c r="E1291" s="8"/>
    </row>
    <row r="1292" spans="1:5" x14ac:dyDescent="0.2">
      <c r="A1292" s="82"/>
      <c r="B1292" s="70"/>
      <c r="C1292" s="70"/>
      <c r="D1292" s="8"/>
      <c r="E1292" s="8"/>
    </row>
    <row r="1293" spans="1:5" x14ac:dyDescent="0.2">
      <c r="A1293" s="82"/>
      <c r="B1293" s="70"/>
      <c r="C1293" s="70"/>
      <c r="D1293" s="8"/>
      <c r="E1293" s="8"/>
    </row>
    <row r="1294" spans="1:5" x14ac:dyDescent="0.2">
      <c r="A1294" s="82"/>
      <c r="B1294" s="70"/>
      <c r="C1294" s="70"/>
      <c r="D1294" s="8"/>
      <c r="E1294" s="8"/>
    </row>
    <row r="1295" spans="1:5" x14ac:dyDescent="0.2">
      <c r="A1295" s="82"/>
      <c r="B1295" s="70"/>
      <c r="C1295" s="70"/>
      <c r="D1295" s="8"/>
      <c r="E1295" s="8"/>
    </row>
    <row r="1296" spans="1:5" x14ac:dyDescent="0.2">
      <c r="A1296" s="82"/>
      <c r="B1296" s="70"/>
      <c r="C1296" s="70"/>
      <c r="D1296" s="8"/>
      <c r="E1296" s="8"/>
    </row>
    <row r="1297" spans="1:5" x14ac:dyDescent="0.2">
      <c r="A1297" s="82"/>
      <c r="B1297" s="70"/>
      <c r="C1297" s="70"/>
      <c r="D1297" s="8"/>
      <c r="E1297" s="8"/>
    </row>
    <row r="1298" spans="1:5" x14ac:dyDescent="0.2">
      <c r="A1298" s="82"/>
      <c r="B1298" s="70"/>
      <c r="C1298" s="70"/>
      <c r="D1298" s="8"/>
      <c r="E1298" s="8"/>
    </row>
    <row r="1299" spans="1:5" x14ac:dyDescent="0.2">
      <c r="A1299" s="82"/>
      <c r="B1299" s="70"/>
      <c r="C1299" s="70"/>
      <c r="D1299" s="8"/>
      <c r="E1299" s="8"/>
    </row>
    <row r="1300" spans="1:5" x14ac:dyDescent="0.2">
      <c r="A1300" s="82"/>
      <c r="B1300" s="70"/>
      <c r="C1300" s="70"/>
      <c r="D1300" s="8"/>
      <c r="E1300" s="8"/>
    </row>
    <row r="1301" spans="1:5" x14ac:dyDescent="0.2">
      <c r="A1301" s="82"/>
      <c r="B1301" s="70"/>
      <c r="C1301" s="70"/>
      <c r="D1301" s="8"/>
      <c r="E1301" s="8"/>
    </row>
    <row r="1302" spans="1:5" x14ac:dyDescent="0.2">
      <c r="A1302" s="82"/>
      <c r="B1302" s="70"/>
      <c r="C1302" s="70"/>
      <c r="D1302" s="8"/>
      <c r="E1302" s="8"/>
    </row>
    <row r="1303" spans="1:5" x14ac:dyDescent="0.2">
      <c r="A1303" s="82"/>
      <c r="B1303" s="70"/>
      <c r="C1303" s="70"/>
      <c r="D1303" s="8"/>
      <c r="E1303" s="8"/>
    </row>
    <row r="1304" spans="1:5" x14ac:dyDescent="0.2">
      <c r="A1304" s="82"/>
      <c r="B1304" s="70"/>
      <c r="C1304" s="70"/>
      <c r="D1304" s="8"/>
      <c r="E1304" s="8"/>
    </row>
    <row r="1305" spans="1:5" x14ac:dyDescent="0.2">
      <c r="A1305" s="82"/>
      <c r="B1305" s="70"/>
      <c r="C1305" s="70"/>
      <c r="D1305" s="8"/>
      <c r="E1305" s="8"/>
    </row>
    <row r="1306" spans="1:5" x14ac:dyDescent="0.2">
      <c r="A1306" s="82"/>
      <c r="B1306" s="70"/>
      <c r="C1306" s="70"/>
      <c r="D1306" s="8"/>
      <c r="E1306" s="8"/>
    </row>
    <row r="1307" spans="1:5" x14ac:dyDescent="0.2">
      <c r="A1307" s="82"/>
      <c r="B1307" s="70"/>
      <c r="C1307" s="70"/>
      <c r="D1307" s="8"/>
      <c r="E1307" s="8"/>
    </row>
    <row r="1308" spans="1:5" x14ac:dyDescent="0.2">
      <c r="A1308" s="82"/>
      <c r="B1308" s="70"/>
      <c r="C1308" s="70"/>
      <c r="D1308" s="8"/>
      <c r="E1308" s="8"/>
    </row>
    <row r="1309" spans="1:5" x14ac:dyDescent="0.2">
      <c r="A1309" s="82"/>
      <c r="B1309" s="70"/>
      <c r="C1309" s="70"/>
      <c r="D1309" s="8"/>
      <c r="E1309" s="8"/>
    </row>
    <row r="1310" spans="1:5" x14ac:dyDescent="0.2">
      <c r="A1310" s="82"/>
      <c r="B1310" s="70"/>
      <c r="C1310" s="70"/>
      <c r="D1310" s="8"/>
      <c r="E1310" s="8"/>
    </row>
    <row r="1311" spans="1:5" x14ac:dyDescent="0.2">
      <c r="A1311" s="82"/>
      <c r="B1311" s="70"/>
      <c r="C1311" s="70"/>
      <c r="D1311" s="8"/>
      <c r="E1311" s="8"/>
    </row>
    <row r="1312" spans="1:5" x14ac:dyDescent="0.2">
      <c r="A1312" s="82"/>
      <c r="B1312" s="70"/>
      <c r="C1312" s="70"/>
      <c r="D1312" s="8"/>
      <c r="E1312" s="8"/>
    </row>
    <row r="1313" spans="1:5" x14ac:dyDescent="0.2">
      <c r="A1313" s="82"/>
      <c r="B1313" s="70"/>
      <c r="C1313" s="70"/>
      <c r="D1313" s="8"/>
      <c r="E1313" s="8"/>
    </row>
    <row r="1314" spans="1:5" x14ac:dyDescent="0.2">
      <c r="A1314" s="82"/>
      <c r="B1314" s="70"/>
      <c r="C1314" s="70"/>
      <c r="D1314" s="8"/>
      <c r="E1314" s="8"/>
    </row>
    <row r="1315" spans="1:5" x14ac:dyDescent="0.2">
      <c r="A1315" s="82"/>
      <c r="B1315" s="70"/>
      <c r="C1315" s="70"/>
      <c r="D1315" s="8"/>
      <c r="E1315" s="8"/>
    </row>
    <row r="1316" spans="1:5" x14ac:dyDescent="0.2">
      <c r="A1316" s="82"/>
      <c r="B1316" s="70"/>
      <c r="C1316" s="70"/>
      <c r="D1316" s="8"/>
      <c r="E1316" s="8"/>
    </row>
    <row r="1317" spans="1:5" x14ac:dyDescent="0.2">
      <c r="A1317" s="82"/>
      <c r="B1317" s="70"/>
      <c r="C1317" s="70"/>
      <c r="D1317" s="8"/>
      <c r="E1317" s="8"/>
    </row>
    <row r="1318" spans="1:5" x14ac:dyDescent="0.2">
      <c r="A1318" s="82"/>
      <c r="B1318" s="70"/>
      <c r="C1318" s="70"/>
      <c r="D1318" s="8"/>
      <c r="E1318" s="8"/>
    </row>
    <row r="1319" spans="1:5" x14ac:dyDescent="0.2">
      <c r="A1319" s="82"/>
      <c r="B1319" s="70"/>
      <c r="C1319" s="70"/>
      <c r="D1319" s="8"/>
      <c r="E1319" s="8"/>
    </row>
    <row r="1320" spans="1:5" x14ac:dyDescent="0.2">
      <c r="A1320" s="82"/>
      <c r="B1320" s="70"/>
      <c r="C1320" s="70"/>
      <c r="D1320" s="8"/>
      <c r="E1320" s="8"/>
    </row>
    <row r="1321" spans="1:5" x14ac:dyDescent="0.2">
      <c r="A1321" s="82"/>
      <c r="B1321" s="70"/>
      <c r="C1321" s="70"/>
      <c r="D1321" s="8"/>
      <c r="E1321" s="8"/>
    </row>
    <row r="1322" spans="1:5" x14ac:dyDescent="0.2">
      <c r="A1322" s="82"/>
      <c r="B1322" s="70"/>
      <c r="C1322" s="70"/>
      <c r="D1322" s="8"/>
      <c r="E1322" s="8"/>
    </row>
    <row r="1323" spans="1:5" x14ac:dyDescent="0.2">
      <c r="A1323" s="82"/>
      <c r="B1323" s="70"/>
      <c r="C1323" s="70"/>
      <c r="D1323" s="8"/>
      <c r="E1323" s="8"/>
    </row>
    <row r="1324" spans="1:5" x14ac:dyDescent="0.2">
      <c r="A1324" s="82"/>
      <c r="B1324" s="70"/>
      <c r="C1324" s="70"/>
      <c r="D1324" s="8"/>
      <c r="E1324" s="8"/>
    </row>
    <row r="1325" spans="1:5" x14ac:dyDescent="0.2">
      <c r="A1325" s="82"/>
      <c r="B1325" s="70"/>
      <c r="C1325" s="70"/>
      <c r="D1325" s="8"/>
      <c r="E1325" s="8"/>
    </row>
    <row r="1326" spans="1:5" x14ac:dyDescent="0.2">
      <c r="A1326" s="82"/>
      <c r="B1326" s="70"/>
      <c r="C1326" s="70"/>
      <c r="D1326" s="8"/>
      <c r="E1326" s="8"/>
    </row>
    <row r="1327" spans="1:5" x14ac:dyDescent="0.2">
      <c r="A1327" s="82"/>
      <c r="B1327" s="70"/>
      <c r="C1327" s="70"/>
      <c r="D1327" s="8"/>
      <c r="E1327" s="8"/>
    </row>
    <row r="1328" spans="1:5" x14ac:dyDescent="0.2">
      <c r="A1328" s="82"/>
      <c r="B1328" s="70"/>
      <c r="C1328" s="70"/>
      <c r="D1328" s="8"/>
      <c r="E1328" s="8"/>
    </row>
    <row r="1329" spans="1:5" x14ac:dyDescent="0.2">
      <c r="A1329" s="82"/>
      <c r="B1329" s="70"/>
      <c r="C1329" s="70"/>
      <c r="D1329" s="8"/>
      <c r="E1329" s="8"/>
    </row>
    <row r="1330" spans="1:5" x14ac:dyDescent="0.2">
      <c r="A1330" s="82"/>
      <c r="B1330" s="70"/>
      <c r="C1330" s="70"/>
      <c r="D1330" s="8"/>
      <c r="E1330" s="8"/>
    </row>
    <row r="1331" spans="1:5" x14ac:dyDescent="0.2">
      <c r="A1331" s="82"/>
      <c r="B1331" s="70"/>
      <c r="C1331" s="70"/>
      <c r="D1331" s="8"/>
      <c r="E1331" s="8"/>
    </row>
    <row r="1332" spans="1:5" x14ac:dyDescent="0.2">
      <c r="A1332" s="82"/>
      <c r="B1332" s="70"/>
      <c r="C1332" s="70"/>
      <c r="D1332" s="8"/>
      <c r="E1332" s="8"/>
    </row>
    <row r="1333" spans="1:5" x14ac:dyDescent="0.2">
      <c r="A1333" s="82"/>
      <c r="B1333" s="70"/>
      <c r="C1333" s="70"/>
      <c r="D1333" s="8"/>
      <c r="E1333" s="8"/>
    </row>
    <row r="1334" spans="1:5" x14ac:dyDescent="0.2">
      <c r="A1334" s="82"/>
      <c r="B1334" s="70"/>
      <c r="C1334" s="70"/>
      <c r="D1334" s="8"/>
      <c r="E1334" s="8"/>
    </row>
    <row r="1335" spans="1:5" x14ac:dyDescent="0.2">
      <c r="A1335" s="82"/>
      <c r="B1335" s="70"/>
      <c r="C1335" s="70"/>
      <c r="D1335" s="8"/>
      <c r="E1335" s="8"/>
    </row>
    <row r="1336" spans="1:5" x14ac:dyDescent="0.2">
      <c r="A1336" s="82"/>
      <c r="B1336" s="70"/>
      <c r="C1336" s="70"/>
      <c r="D1336" s="8"/>
      <c r="E1336" s="8"/>
    </row>
    <row r="1337" spans="1:5" x14ac:dyDescent="0.2">
      <c r="A1337" s="82"/>
      <c r="B1337" s="70"/>
      <c r="C1337" s="70"/>
      <c r="D1337" s="8"/>
      <c r="E1337" s="8"/>
    </row>
    <row r="1338" spans="1:5" x14ac:dyDescent="0.2">
      <c r="A1338" s="82"/>
      <c r="B1338" s="70"/>
      <c r="C1338" s="70"/>
      <c r="D1338" s="8"/>
      <c r="E1338" s="8"/>
    </row>
    <row r="1339" spans="1:5" x14ac:dyDescent="0.2">
      <c r="A1339" s="82"/>
      <c r="B1339" s="70"/>
      <c r="C1339" s="70"/>
      <c r="D1339" s="8"/>
      <c r="E1339" s="8"/>
    </row>
    <row r="1340" spans="1:5" x14ac:dyDescent="0.2">
      <c r="A1340" s="82"/>
      <c r="B1340" s="70"/>
      <c r="C1340" s="70"/>
      <c r="D1340" s="8"/>
      <c r="E1340" s="8"/>
    </row>
    <row r="1341" spans="1:5" x14ac:dyDescent="0.2">
      <c r="A1341" s="82"/>
      <c r="B1341" s="70"/>
      <c r="C1341" s="70"/>
      <c r="D1341" s="8"/>
      <c r="E1341" s="8"/>
    </row>
    <row r="1342" spans="1:5" x14ac:dyDescent="0.2">
      <c r="A1342" s="82"/>
      <c r="B1342" s="70"/>
      <c r="C1342" s="70"/>
      <c r="D1342" s="8"/>
      <c r="E1342" s="8"/>
    </row>
    <row r="1343" spans="1:5" x14ac:dyDescent="0.2">
      <c r="A1343" s="82"/>
      <c r="B1343" s="70"/>
      <c r="C1343" s="70"/>
      <c r="D1343" s="8"/>
      <c r="E1343" s="8"/>
    </row>
    <row r="1344" spans="1:5" x14ac:dyDescent="0.2">
      <c r="A1344" s="82"/>
      <c r="B1344" s="70"/>
      <c r="C1344" s="70"/>
      <c r="D1344" s="8"/>
      <c r="E1344" s="8"/>
    </row>
    <row r="1345" spans="1:5" x14ac:dyDescent="0.2">
      <c r="A1345" s="82"/>
      <c r="B1345" s="70"/>
      <c r="C1345" s="70"/>
      <c r="D1345" s="8"/>
      <c r="E1345" s="8"/>
    </row>
    <row r="1346" spans="1:5" x14ac:dyDescent="0.2">
      <c r="A1346" s="82"/>
      <c r="B1346" s="70"/>
      <c r="C1346" s="70"/>
      <c r="D1346" s="8"/>
      <c r="E1346" s="8"/>
    </row>
    <row r="1347" spans="1:5" x14ac:dyDescent="0.2">
      <c r="A1347" s="82"/>
      <c r="B1347" s="70"/>
      <c r="C1347" s="70"/>
      <c r="D1347" s="8"/>
      <c r="E1347" s="8"/>
    </row>
    <row r="1348" spans="1:5" x14ac:dyDescent="0.2">
      <c r="A1348" s="82"/>
      <c r="B1348" s="70"/>
      <c r="C1348" s="70"/>
      <c r="D1348" s="8"/>
      <c r="E1348" s="8"/>
    </row>
    <row r="1349" spans="1:5" x14ac:dyDescent="0.2">
      <c r="A1349" s="82"/>
      <c r="B1349" s="70"/>
      <c r="C1349" s="70"/>
      <c r="D1349" s="8"/>
      <c r="E1349" s="8"/>
    </row>
    <row r="1350" spans="1:5" x14ac:dyDescent="0.2">
      <c r="A1350" s="82"/>
      <c r="B1350" s="70"/>
      <c r="C1350" s="70"/>
      <c r="D1350" s="8"/>
      <c r="E1350" s="8"/>
    </row>
    <row r="1351" spans="1:5" x14ac:dyDescent="0.2">
      <c r="A1351" s="82"/>
      <c r="B1351" s="70"/>
      <c r="C1351" s="70"/>
      <c r="D1351" s="8"/>
      <c r="E1351" s="8"/>
    </row>
    <row r="1352" spans="1:5" x14ac:dyDescent="0.2">
      <c r="A1352" s="82"/>
      <c r="B1352" s="70"/>
      <c r="C1352" s="70"/>
      <c r="D1352" s="8"/>
      <c r="E1352" s="8"/>
    </row>
    <row r="1353" spans="1:5" x14ac:dyDescent="0.2">
      <c r="A1353" s="82"/>
      <c r="B1353" s="70"/>
      <c r="C1353" s="70"/>
      <c r="D1353" s="8"/>
      <c r="E1353" s="8"/>
    </row>
    <row r="1354" spans="1:5" x14ac:dyDescent="0.2">
      <c r="A1354" s="82"/>
      <c r="B1354" s="70"/>
      <c r="C1354" s="70"/>
      <c r="D1354" s="8"/>
      <c r="E1354" s="8"/>
    </row>
    <row r="1355" spans="1:5" x14ac:dyDescent="0.2">
      <c r="A1355" s="82"/>
      <c r="B1355" s="70"/>
      <c r="C1355" s="70"/>
      <c r="D1355" s="8"/>
      <c r="E1355" s="8"/>
    </row>
    <row r="1356" spans="1:5" x14ac:dyDescent="0.2">
      <c r="A1356" s="82"/>
      <c r="B1356" s="70"/>
      <c r="C1356" s="70"/>
      <c r="D1356" s="8"/>
      <c r="E1356" s="8"/>
    </row>
    <row r="1357" spans="1:5" x14ac:dyDescent="0.2">
      <c r="A1357" s="82"/>
      <c r="B1357" s="70"/>
      <c r="C1357" s="70"/>
      <c r="D1357" s="8"/>
      <c r="E1357" s="8"/>
    </row>
    <row r="1358" spans="1:5" x14ac:dyDescent="0.2">
      <c r="A1358" s="82"/>
      <c r="B1358" s="70"/>
      <c r="C1358" s="70"/>
      <c r="D1358" s="8"/>
      <c r="E1358" s="8"/>
    </row>
    <row r="1359" spans="1:5" x14ac:dyDescent="0.2">
      <c r="A1359" s="82"/>
      <c r="B1359" s="70"/>
      <c r="C1359" s="70"/>
      <c r="D1359" s="8"/>
      <c r="E1359" s="8"/>
    </row>
    <row r="1360" spans="1:5" x14ac:dyDescent="0.2">
      <c r="A1360" s="82"/>
      <c r="B1360" s="70"/>
      <c r="C1360" s="70"/>
      <c r="D1360" s="8"/>
      <c r="E1360" s="8"/>
    </row>
    <row r="1361" spans="1:5" x14ac:dyDescent="0.2">
      <c r="A1361" s="82"/>
      <c r="B1361" s="70"/>
      <c r="C1361" s="70"/>
      <c r="D1361" s="8"/>
      <c r="E1361" s="8"/>
    </row>
    <row r="1362" spans="1:5" x14ac:dyDescent="0.2">
      <c r="A1362" s="82"/>
      <c r="B1362" s="70"/>
      <c r="C1362" s="70"/>
      <c r="D1362" s="8"/>
      <c r="E1362" s="8"/>
    </row>
    <row r="1363" spans="1:5" x14ac:dyDescent="0.2">
      <c r="A1363" s="82"/>
      <c r="B1363" s="70"/>
      <c r="C1363" s="70"/>
      <c r="D1363" s="8"/>
      <c r="E1363" s="8"/>
    </row>
    <row r="1364" spans="1:5" x14ac:dyDescent="0.2">
      <c r="A1364" s="82"/>
      <c r="B1364" s="70"/>
      <c r="C1364" s="70"/>
      <c r="D1364" s="8"/>
      <c r="E1364" s="8"/>
    </row>
    <row r="1365" spans="1:5" x14ac:dyDescent="0.2">
      <c r="A1365" s="82"/>
      <c r="B1365" s="70"/>
      <c r="C1365" s="70"/>
      <c r="D1365" s="8"/>
      <c r="E1365" s="8"/>
    </row>
    <row r="1366" spans="1:5" x14ac:dyDescent="0.2">
      <c r="A1366" s="82"/>
      <c r="B1366" s="70"/>
      <c r="C1366" s="70"/>
      <c r="D1366" s="8"/>
      <c r="E1366" s="8"/>
    </row>
    <row r="1367" spans="1:5" x14ac:dyDescent="0.2">
      <c r="A1367" s="82"/>
      <c r="B1367" s="70"/>
      <c r="C1367" s="70"/>
      <c r="D1367" s="8"/>
      <c r="E1367" s="8"/>
    </row>
    <row r="1368" spans="1:5" x14ac:dyDescent="0.2">
      <c r="A1368" s="82"/>
      <c r="B1368" s="70"/>
      <c r="C1368" s="70"/>
      <c r="D1368" s="8"/>
      <c r="E1368" s="8"/>
    </row>
    <row r="1369" spans="1:5" x14ac:dyDescent="0.2">
      <c r="A1369" s="82"/>
      <c r="B1369" s="70"/>
      <c r="C1369" s="70"/>
      <c r="D1369" s="8"/>
      <c r="E1369" s="8"/>
    </row>
    <row r="1370" spans="1:5" x14ac:dyDescent="0.2">
      <c r="A1370" s="82"/>
      <c r="B1370" s="70"/>
      <c r="C1370" s="70"/>
      <c r="D1370" s="8"/>
      <c r="E1370" s="8"/>
    </row>
    <row r="1371" spans="1:5" x14ac:dyDescent="0.2">
      <c r="A1371" s="82"/>
      <c r="B1371" s="70"/>
      <c r="C1371" s="70"/>
      <c r="D1371" s="8"/>
      <c r="E1371" s="8"/>
    </row>
    <row r="1372" spans="1:5" x14ac:dyDescent="0.2">
      <c r="A1372" s="82"/>
      <c r="B1372" s="70"/>
      <c r="C1372" s="70"/>
      <c r="D1372" s="8"/>
      <c r="E1372" s="8"/>
    </row>
    <row r="1373" spans="1:5" x14ac:dyDescent="0.2">
      <c r="A1373" s="82"/>
      <c r="B1373" s="70"/>
      <c r="C1373" s="70"/>
      <c r="D1373" s="8"/>
      <c r="E1373" s="8"/>
    </row>
    <row r="1374" spans="1:5" x14ac:dyDescent="0.2">
      <c r="A1374" s="82"/>
      <c r="B1374" s="70"/>
      <c r="C1374" s="70"/>
      <c r="D1374" s="8"/>
      <c r="E1374" s="8"/>
    </row>
    <row r="1375" spans="1:5" x14ac:dyDescent="0.2">
      <c r="A1375" s="82"/>
      <c r="B1375" s="70"/>
      <c r="C1375" s="70"/>
      <c r="D1375" s="8"/>
      <c r="E1375" s="8"/>
    </row>
    <row r="1376" spans="1:5" x14ac:dyDescent="0.2">
      <c r="A1376" s="82"/>
      <c r="B1376" s="70"/>
      <c r="C1376" s="70"/>
      <c r="D1376" s="8"/>
      <c r="E1376" s="8"/>
    </row>
    <row r="1377" spans="1:5" x14ac:dyDescent="0.2">
      <c r="A1377" s="82"/>
      <c r="B1377" s="70"/>
      <c r="C1377" s="70"/>
      <c r="D1377" s="8"/>
      <c r="E1377" s="8"/>
    </row>
    <row r="1378" spans="1:5" x14ac:dyDescent="0.2">
      <c r="A1378" s="82"/>
      <c r="B1378" s="70"/>
      <c r="C1378" s="70"/>
      <c r="D1378" s="8"/>
      <c r="E1378" s="8"/>
    </row>
    <row r="1379" spans="1:5" x14ac:dyDescent="0.2">
      <c r="A1379" s="82"/>
      <c r="B1379" s="70"/>
      <c r="C1379" s="70"/>
      <c r="D1379" s="8"/>
      <c r="E1379" s="8"/>
    </row>
    <row r="1380" spans="1:5" x14ac:dyDescent="0.2">
      <c r="A1380" s="82"/>
      <c r="B1380" s="70"/>
      <c r="C1380" s="70"/>
      <c r="D1380" s="8"/>
      <c r="E1380" s="8"/>
    </row>
    <row r="1381" spans="1:5" x14ac:dyDescent="0.2">
      <c r="A1381" s="82"/>
      <c r="B1381" s="70"/>
      <c r="C1381" s="70"/>
      <c r="D1381" s="8"/>
      <c r="E1381" s="8"/>
    </row>
    <row r="1382" spans="1:5" x14ac:dyDescent="0.2">
      <c r="A1382" s="82"/>
      <c r="B1382" s="70"/>
      <c r="C1382" s="70"/>
      <c r="D1382" s="8"/>
      <c r="E1382" s="8"/>
    </row>
    <row r="1383" spans="1:5" x14ac:dyDescent="0.2">
      <c r="A1383" s="82"/>
      <c r="B1383" s="70"/>
      <c r="C1383" s="70"/>
      <c r="D1383" s="8"/>
      <c r="E1383" s="8"/>
    </row>
    <row r="1384" spans="1:5" x14ac:dyDescent="0.2">
      <c r="A1384" s="82"/>
      <c r="B1384" s="70"/>
      <c r="C1384" s="70"/>
      <c r="D1384" s="8"/>
      <c r="E1384" s="8"/>
    </row>
    <row r="1385" spans="1:5" x14ac:dyDescent="0.2">
      <c r="A1385" s="82"/>
      <c r="B1385" s="70"/>
      <c r="C1385" s="70"/>
      <c r="D1385" s="8"/>
      <c r="E1385" s="8"/>
    </row>
    <row r="1386" spans="1:5" x14ac:dyDescent="0.2">
      <c r="A1386" s="82"/>
      <c r="B1386" s="70"/>
      <c r="C1386" s="70"/>
      <c r="D1386" s="8"/>
      <c r="E1386" s="8"/>
    </row>
    <row r="1387" spans="1:5" x14ac:dyDescent="0.2">
      <c r="A1387" s="82"/>
      <c r="B1387" s="70"/>
      <c r="C1387" s="70"/>
      <c r="D1387" s="8"/>
      <c r="E1387" s="8"/>
    </row>
    <row r="1388" spans="1:5" x14ac:dyDescent="0.2">
      <c r="A1388" s="82"/>
      <c r="B1388" s="70"/>
      <c r="C1388" s="70"/>
      <c r="D1388" s="8"/>
      <c r="E1388" s="8"/>
    </row>
    <row r="1389" spans="1:5" x14ac:dyDescent="0.2">
      <c r="A1389" s="82"/>
      <c r="B1389" s="70"/>
      <c r="C1389" s="70"/>
      <c r="D1389" s="8"/>
      <c r="E1389" s="8"/>
    </row>
    <row r="1390" spans="1:5" x14ac:dyDescent="0.2">
      <c r="A1390" s="82"/>
      <c r="B1390" s="70"/>
      <c r="C1390" s="70"/>
      <c r="D1390" s="8"/>
      <c r="E1390" s="8"/>
    </row>
    <row r="1391" spans="1:5" x14ac:dyDescent="0.2">
      <c r="A1391" s="82"/>
      <c r="B1391" s="70"/>
      <c r="C1391" s="70"/>
      <c r="D1391" s="8"/>
      <c r="E1391" s="8"/>
    </row>
    <row r="1392" spans="1:5" x14ac:dyDescent="0.2">
      <c r="A1392" s="82"/>
      <c r="B1392" s="70"/>
      <c r="C1392" s="70"/>
      <c r="D1392" s="8"/>
      <c r="E1392" s="8"/>
    </row>
    <row r="1393" spans="1:5" x14ac:dyDescent="0.2">
      <c r="A1393" s="82"/>
      <c r="B1393" s="70"/>
      <c r="C1393" s="70"/>
      <c r="D1393" s="8"/>
      <c r="E1393" s="8"/>
    </row>
    <row r="1394" spans="1:5" x14ac:dyDescent="0.2">
      <c r="A1394" s="82"/>
      <c r="B1394" s="70"/>
      <c r="C1394" s="70"/>
      <c r="D1394" s="8"/>
      <c r="E1394" s="8"/>
    </row>
    <row r="1395" spans="1:5" x14ac:dyDescent="0.2">
      <c r="A1395" s="82"/>
      <c r="B1395" s="70"/>
      <c r="C1395" s="70"/>
      <c r="D1395" s="8"/>
      <c r="E1395" s="8"/>
    </row>
    <row r="1396" spans="1:5" x14ac:dyDescent="0.2">
      <c r="A1396" s="82"/>
      <c r="B1396" s="70"/>
      <c r="C1396" s="70"/>
      <c r="D1396" s="8"/>
      <c r="E1396" s="8"/>
    </row>
    <row r="1397" spans="1:5" x14ac:dyDescent="0.2">
      <c r="A1397" s="82"/>
      <c r="B1397" s="70"/>
      <c r="C1397" s="70"/>
      <c r="D1397" s="8"/>
      <c r="E1397" s="8"/>
    </row>
    <row r="1398" spans="1:5" x14ac:dyDescent="0.2">
      <c r="A1398" s="82"/>
      <c r="B1398" s="70"/>
      <c r="C1398" s="70"/>
      <c r="D1398" s="8"/>
      <c r="E1398" s="8"/>
    </row>
    <row r="1399" spans="1:5" x14ac:dyDescent="0.2">
      <c r="A1399" s="82"/>
      <c r="B1399" s="70"/>
      <c r="C1399" s="70"/>
      <c r="D1399" s="8"/>
      <c r="E1399" s="8"/>
    </row>
    <row r="1400" spans="1:5" x14ac:dyDescent="0.2">
      <c r="A1400" s="82"/>
      <c r="B1400" s="70"/>
      <c r="C1400" s="70"/>
      <c r="D1400" s="8"/>
      <c r="E1400" s="8"/>
    </row>
    <row r="1401" spans="1:5" x14ac:dyDescent="0.2">
      <c r="A1401" s="82"/>
      <c r="B1401" s="70"/>
      <c r="C1401" s="70"/>
      <c r="D1401" s="8"/>
      <c r="E1401" s="8"/>
    </row>
    <row r="1402" spans="1:5" x14ac:dyDescent="0.2">
      <c r="A1402" s="82"/>
      <c r="B1402" s="70"/>
      <c r="C1402" s="70"/>
      <c r="D1402" s="8"/>
      <c r="E1402" s="8"/>
    </row>
    <row r="1403" spans="1:5" x14ac:dyDescent="0.2">
      <c r="A1403" s="82"/>
      <c r="B1403" s="70"/>
      <c r="C1403" s="70"/>
      <c r="D1403" s="8"/>
      <c r="E1403" s="8"/>
    </row>
    <row r="1404" spans="1:5" x14ac:dyDescent="0.2">
      <c r="A1404" s="82"/>
      <c r="B1404" s="70"/>
      <c r="C1404" s="70"/>
      <c r="D1404" s="8"/>
      <c r="E1404" s="8"/>
    </row>
    <row r="1405" spans="1:5" x14ac:dyDescent="0.2">
      <c r="A1405" s="82"/>
      <c r="B1405" s="70"/>
      <c r="C1405" s="70"/>
      <c r="D1405" s="8"/>
      <c r="E1405" s="8"/>
    </row>
    <row r="1406" spans="1:5" x14ac:dyDescent="0.2">
      <c r="A1406" s="82"/>
      <c r="B1406" s="70"/>
      <c r="C1406" s="70"/>
      <c r="D1406" s="8"/>
      <c r="E1406" s="8"/>
    </row>
    <row r="1407" spans="1:5" x14ac:dyDescent="0.2">
      <c r="A1407" s="82"/>
      <c r="B1407" s="70"/>
      <c r="C1407" s="70"/>
      <c r="D1407" s="8"/>
      <c r="E1407" s="8"/>
    </row>
    <row r="1408" spans="1:5" x14ac:dyDescent="0.2">
      <c r="A1408" s="82"/>
      <c r="B1408" s="70"/>
      <c r="C1408" s="70"/>
      <c r="D1408" s="8"/>
      <c r="E1408" s="8"/>
    </row>
    <row r="1409" spans="1:5" x14ac:dyDescent="0.2">
      <c r="A1409" s="82"/>
      <c r="B1409" s="70"/>
      <c r="C1409" s="70"/>
      <c r="D1409" s="8"/>
      <c r="E1409" s="8"/>
    </row>
    <row r="1410" spans="1:5" x14ac:dyDescent="0.2">
      <c r="A1410" s="82"/>
      <c r="B1410" s="70"/>
      <c r="C1410" s="70"/>
      <c r="D1410" s="8"/>
      <c r="E1410" s="8"/>
    </row>
    <row r="1411" spans="1:5" x14ac:dyDescent="0.2">
      <c r="A1411" s="82"/>
      <c r="B1411" s="70"/>
      <c r="C1411" s="70"/>
      <c r="D1411" s="8"/>
      <c r="E1411" s="8"/>
    </row>
    <row r="1412" spans="1:5" x14ac:dyDescent="0.2">
      <c r="A1412" s="82"/>
      <c r="B1412" s="70"/>
      <c r="C1412" s="70"/>
      <c r="D1412" s="8"/>
      <c r="E1412" s="8"/>
    </row>
    <row r="1413" spans="1:5" x14ac:dyDescent="0.2">
      <c r="A1413" s="82"/>
      <c r="B1413" s="70"/>
      <c r="C1413" s="70"/>
      <c r="D1413" s="8"/>
      <c r="E1413" s="8"/>
    </row>
    <row r="1414" spans="1:5" x14ac:dyDescent="0.2">
      <c r="A1414" s="82"/>
      <c r="B1414" s="70"/>
      <c r="C1414" s="70"/>
      <c r="D1414" s="8"/>
      <c r="E1414" s="8"/>
    </row>
    <row r="1415" spans="1:5" x14ac:dyDescent="0.2">
      <c r="A1415" s="82"/>
      <c r="B1415" s="70"/>
      <c r="C1415" s="70"/>
      <c r="D1415" s="8"/>
      <c r="E1415" s="8"/>
    </row>
    <row r="1416" spans="1:5" x14ac:dyDescent="0.2">
      <c r="A1416" s="82"/>
      <c r="B1416" s="70"/>
      <c r="C1416" s="70"/>
      <c r="D1416" s="8"/>
      <c r="E1416" s="8"/>
    </row>
    <row r="1417" spans="1:5" x14ac:dyDescent="0.2">
      <c r="A1417" s="82"/>
      <c r="B1417" s="70"/>
      <c r="C1417" s="70"/>
      <c r="D1417" s="8"/>
      <c r="E1417" s="8"/>
    </row>
    <row r="1418" spans="1:5" x14ac:dyDescent="0.2">
      <c r="A1418" s="82"/>
      <c r="B1418" s="70"/>
      <c r="C1418" s="70"/>
      <c r="D1418" s="8"/>
      <c r="E1418" s="8"/>
    </row>
    <row r="1419" spans="1:5" x14ac:dyDescent="0.2">
      <c r="A1419" s="82"/>
      <c r="B1419" s="70"/>
      <c r="C1419" s="70"/>
      <c r="D1419" s="8"/>
      <c r="E1419" s="8"/>
    </row>
    <row r="1420" spans="1:5" x14ac:dyDescent="0.2">
      <c r="A1420" s="82"/>
      <c r="B1420" s="70"/>
      <c r="C1420" s="70"/>
      <c r="D1420" s="8"/>
      <c r="E1420" s="8"/>
    </row>
    <row r="1421" spans="1:5" x14ac:dyDescent="0.2">
      <c r="A1421" s="82"/>
      <c r="B1421" s="70"/>
      <c r="C1421" s="70"/>
      <c r="D1421" s="8"/>
      <c r="E1421" s="8"/>
    </row>
    <row r="1422" spans="1:5" x14ac:dyDescent="0.2">
      <c r="A1422" s="82"/>
      <c r="B1422" s="70"/>
      <c r="C1422" s="70"/>
      <c r="D1422" s="8"/>
      <c r="E1422" s="8"/>
    </row>
    <row r="1423" spans="1:5" x14ac:dyDescent="0.2">
      <c r="A1423" s="82"/>
      <c r="B1423" s="70"/>
      <c r="C1423" s="70"/>
      <c r="D1423" s="8"/>
      <c r="E1423" s="8"/>
    </row>
    <row r="1424" spans="1:5" x14ac:dyDescent="0.2">
      <c r="A1424" s="82"/>
      <c r="B1424" s="70"/>
      <c r="C1424" s="70"/>
      <c r="D1424" s="8"/>
      <c r="E1424" s="8"/>
    </row>
    <row r="1425" spans="1:5" x14ac:dyDescent="0.2">
      <c r="A1425" s="82"/>
      <c r="B1425" s="70"/>
      <c r="C1425" s="70"/>
      <c r="D1425" s="8"/>
      <c r="E1425" s="8"/>
    </row>
    <row r="1426" spans="1:5" x14ac:dyDescent="0.2">
      <c r="A1426" s="82"/>
      <c r="B1426" s="70"/>
      <c r="C1426" s="70"/>
      <c r="D1426" s="8"/>
      <c r="E1426" s="8"/>
    </row>
    <row r="1427" spans="1:5" x14ac:dyDescent="0.2">
      <c r="A1427" s="82"/>
      <c r="B1427" s="70"/>
      <c r="C1427" s="70"/>
      <c r="D1427" s="8"/>
      <c r="E1427" s="8"/>
    </row>
    <row r="1428" spans="1:5" x14ac:dyDescent="0.2">
      <c r="A1428" s="82"/>
      <c r="B1428" s="70"/>
      <c r="C1428" s="70"/>
      <c r="D1428" s="8"/>
      <c r="E1428" s="8"/>
    </row>
    <row r="1429" spans="1:5" x14ac:dyDescent="0.2">
      <c r="A1429" s="82"/>
      <c r="B1429" s="70"/>
      <c r="C1429" s="70"/>
      <c r="D1429" s="8"/>
      <c r="E1429" s="8"/>
    </row>
    <row r="1430" spans="1:5" x14ac:dyDescent="0.2">
      <c r="A1430" s="82"/>
      <c r="B1430" s="70"/>
      <c r="C1430" s="70"/>
      <c r="D1430" s="8"/>
      <c r="E1430" s="8"/>
    </row>
    <row r="1431" spans="1:5" x14ac:dyDescent="0.2">
      <c r="A1431" s="82"/>
      <c r="B1431" s="70"/>
      <c r="C1431" s="70"/>
      <c r="D1431" s="8"/>
      <c r="E1431" s="8"/>
    </row>
    <row r="1432" spans="1:5" x14ac:dyDescent="0.2">
      <c r="A1432" s="82"/>
      <c r="B1432" s="70"/>
      <c r="C1432" s="70"/>
      <c r="D1432" s="8"/>
      <c r="E1432" s="8"/>
    </row>
    <row r="1433" spans="1:5" x14ac:dyDescent="0.2">
      <c r="A1433" s="82"/>
      <c r="B1433" s="70"/>
      <c r="C1433" s="70"/>
      <c r="D1433" s="8"/>
      <c r="E1433" s="8"/>
    </row>
    <row r="1434" spans="1:5" x14ac:dyDescent="0.2">
      <c r="A1434" s="82"/>
      <c r="B1434" s="70"/>
      <c r="C1434" s="70"/>
      <c r="D1434" s="8"/>
      <c r="E1434" s="8"/>
    </row>
    <row r="1435" spans="1:5" x14ac:dyDescent="0.2">
      <c r="A1435" s="82"/>
      <c r="B1435" s="70"/>
      <c r="C1435" s="70"/>
      <c r="D1435" s="8"/>
      <c r="E1435" s="8"/>
    </row>
    <row r="1436" spans="1:5" x14ac:dyDescent="0.2">
      <c r="A1436" s="82"/>
      <c r="B1436" s="70"/>
      <c r="C1436" s="70"/>
      <c r="D1436" s="8"/>
      <c r="E1436" s="8"/>
    </row>
    <row r="1437" spans="1:5" x14ac:dyDescent="0.2">
      <c r="A1437" s="82"/>
      <c r="B1437" s="70"/>
      <c r="C1437" s="70"/>
      <c r="D1437" s="8"/>
      <c r="E1437" s="8"/>
    </row>
    <row r="1438" spans="1:5" x14ac:dyDescent="0.2">
      <c r="A1438" s="82"/>
      <c r="B1438" s="70"/>
      <c r="C1438" s="70"/>
      <c r="D1438" s="8"/>
      <c r="E1438" s="8"/>
    </row>
    <row r="1439" spans="1:5" x14ac:dyDescent="0.2">
      <c r="A1439" s="82"/>
      <c r="B1439" s="70"/>
      <c r="C1439" s="70"/>
      <c r="D1439" s="8"/>
      <c r="E1439" s="8"/>
    </row>
    <row r="1440" spans="1:5" x14ac:dyDescent="0.2">
      <c r="A1440" s="82"/>
      <c r="B1440" s="70"/>
      <c r="C1440" s="70"/>
      <c r="D1440" s="8"/>
      <c r="E1440" s="8"/>
    </row>
    <row r="1441" spans="1:5" x14ac:dyDescent="0.2">
      <c r="A1441" s="82"/>
      <c r="B1441" s="70"/>
      <c r="C1441" s="70"/>
      <c r="D1441" s="8"/>
      <c r="E1441" s="8"/>
    </row>
    <row r="1442" spans="1:5" x14ac:dyDescent="0.2">
      <c r="A1442" s="82"/>
      <c r="B1442" s="70"/>
      <c r="C1442" s="70"/>
      <c r="D1442" s="8"/>
      <c r="E1442" s="8"/>
    </row>
    <row r="1443" spans="1:5" x14ac:dyDescent="0.2">
      <c r="A1443" s="82"/>
      <c r="B1443" s="70"/>
      <c r="C1443" s="70"/>
      <c r="D1443" s="8"/>
      <c r="E1443" s="8"/>
    </row>
    <row r="1444" spans="1:5" x14ac:dyDescent="0.2">
      <c r="A1444" s="82"/>
      <c r="B1444" s="70"/>
      <c r="C1444" s="70"/>
      <c r="D1444" s="8"/>
      <c r="E1444" s="8"/>
    </row>
    <row r="1445" spans="1:5" x14ac:dyDescent="0.2">
      <c r="A1445" s="82"/>
      <c r="B1445" s="70"/>
      <c r="C1445" s="70"/>
      <c r="D1445" s="8"/>
      <c r="E1445" s="8"/>
    </row>
    <row r="1446" spans="1:5" x14ac:dyDescent="0.2">
      <c r="A1446" s="82"/>
      <c r="B1446" s="70"/>
      <c r="C1446" s="70"/>
      <c r="D1446" s="8"/>
      <c r="E1446" s="8"/>
    </row>
    <row r="1447" spans="1:5" x14ac:dyDescent="0.2">
      <c r="A1447" s="82"/>
      <c r="B1447" s="70"/>
      <c r="C1447" s="70"/>
      <c r="D1447" s="8"/>
      <c r="E1447" s="8"/>
    </row>
    <row r="1448" spans="1:5" x14ac:dyDescent="0.2">
      <c r="A1448" s="82"/>
      <c r="B1448" s="70"/>
      <c r="C1448" s="70"/>
      <c r="D1448" s="8"/>
      <c r="E1448" s="8"/>
    </row>
    <row r="1449" spans="1:5" x14ac:dyDescent="0.2">
      <c r="A1449" s="82"/>
      <c r="B1449" s="70"/>
      <c r="C1449" s="70"/>
      <c r="D1449" s="8"/>
      <c r="E1449" s="8"/>
    </row>
    <row r="1450" spans="1:5" x14ac:dyDescent="0.2">
      <c r="A1450" s="82"/>
      <c r="B1450" s="70"/>
      <c r="C1450" s="70"/>
      <c r="D1450" s="8"/>
      <c r="E1450" s="8"/>
    </row>
    <row r="1451" spans="1:5" x14ac:dyDescent="0.2">
      <c r="A1451" s="82"/>
      <c r="B1451" s="70"/>
      <c r="C1451" s="70"/>
      <c r="D1451" s="8"/>
      <c r="E1451" s="8"/>
    </row>
    <row r="1452" spans="1:5" x14ac:dyDescent="0.2">
      <c r="A1452" s="82"/>
      <c r="B1452" s="70"/>
      <c r="C1452" s="70"/>
      <c r="D1452" s="8"/>
      <c r="E1452" s="8"/>
    </row>
    <row r="1453" spans="1:5" x14ac:dyDescent="0.2">
      <c r="A1453" s="82"/>
      <c r="B1453" s="70"/>
      <c r="C1453" s="70"/>
      <c r="D1453" s="8"/>
      <c r="E1453" s="8"/>
    </row>
    <row r="1454" spans="1:5" x14ac:dyDescent="0.2">
      <c r="A1454" s="82"/>
      <c r="B1454" s="70"/>
      <c r="C1454" s="70"/>
      <c r="D1454" s="8"/>
      <c r="E1454" s="8"/>
    </row>
    <row r="1455" spans="1:5" x14ac:dyDescent="0.2">
      <c r="A1455" s="82"/>
      <c r="B1455" s="70"/>
      <c r="C1455" s="70"/>
      <c r="D1455" s="8"/>
      <c r="E1455" s="8"/>
    </row>
    <row r="1456" spans="1:5" x14ac:dyDescent="0.2">
      <c r="A1456" s="82"/>
      <c r="B1456" s="70"/>
      <c r="C1456" s="70"/>
      <c r="D1456" s="8"/>
      <c r="E1456" s="8"/>
    </row>
    <row r="1457" spans="1:5" x14ac:dyDescent="0.2">
      <c r="A1457" s="82"/>
      <c r="B1457" s="70"/>
      <c r="C1457" s="70"/>
      <c r="D1457" s="8"/>
      <c r="E1457" s="8"/>
    </row>
    <row r="1458" spans="1:5" x14ac:dyDescent="0.2">
      <c r="A1458" s="82"/>
      <c r="B1458" s="70"/>
      <c r="C1458" s="70"/>
      <c r="D1458" s="8"/>
      <c r="E1458" s="8"/>
    </row>
    <row r="1459" spans="1:5" x14ac:dyDescent="0.2">
      <c r="A1459" s="82"/>
      <c r="B1459" s="70"/>
      <c r="C1459" s="70"/>
      <c r="D1459" s="8"/>
      <c r="E1459" s="8"/>
    </row>
    <row r="1460" spans="1:5" x14ac:dyDescent="0.2">
      <c r="A1460" s="82"/>
      <c r="B1460" s="70"/>
      <c r="C1460" s="70"/>
      <c r="D1460" s="8"/>
      <c r="E1460" s="8"/>
    </row>
    <row r="1461" spans="1:5" x14ac:dyDescent="0.2">
      <c r="A1461" s="82"/>
      <c r="B1461" s="70"/>
      <c r="C1461" s="70"/>
      <c r="D1461" s="8"/>
      <c r="E1461" s="8"/>
    </row>
    <row r="1462" spans="1:5" x14ac:dyDescent="0.2">
      <c r="A1462" s="82"/>
      <c r="B1462" s="70"/>
      <c r="C1462" s="70"/>
      <c r="D1462" s="8"/>
      <c r="E1462" s="8"/>
    </row>
    <row r="1463" spans="1:5" x14ac:dyDescent="0.2">
      <c r="A1463" s="82"/>
      <c r="B1463" s="70"/>
      <c r="C1463" s="70"/>
      <c r="D1463" s="8"/>
      <c r="E1463" s="8"/>
    </row>
    <row r="1464" spans="1:5" x14ac:dyDescent="0.2">
      <c r="A1464" s="82"/>
      <c r="B1464" s="70"/>
      <c r="C1464" s="70"/>
      <c r="D1464" s="8"/>
      <c r="E1464" s="8"/>
    </row>
    <row r="1465" spans="1:5" x14ac:dyDescent="0.2">
      <c r="A1465" s="82"/>
      <c r="B1465" s="70"/>
      <c r="C1465" s="70"/>
      <c r="D1465" s="8"/>
      <c r="E1465" s="8"/>
    </row>
    <row r="1466" spans="1:5" x14ac:dyDescent="0.2">
      <c r="A1466" s="82"/>
      <c r="B1466" s="70"/>
      <c r="C1466" s="70"/>
      <c r="D1466" s="8"/>
      <c r="E1466" s="8"/>
    </row>
    <row r="1467" spans="1:5" x14ac:dyDescent="0.2">
      <c r="A1467" s="82"/>
      <c r="B1467" s="70"/>
      <c r="C1467" s="70"/>
      <c r="D1467" s="8"/>
      <c r="E1467" s="8"/>
    </row>
    <row r="1468" spans="1:5" x14ac:dyDescent="0.2">
      <c r="A1468" s="82"/>
      <c r="B1468" s="70"/>
      <c r="C1468" s="70"/>
      <c r="D1468" s="8"/>
      <c r="E1468" s="8"/>
    </row>
    <row r="1469" spans="1:5" x14ac:dyDescent="0.2">
      <c r="A1469" s="82"/>
      <c r="B1469" s="70"/>
      <c r="C1469" s="70"/>
      <c r="D1469" s="8"/>
      <c r="E1469" s="8"/>
    </row>
    <row r="1470" spans="1:5" x14ac:dyDescent="0.2">
      <c r="A1470" s="82"/>
      <c r="B1470" s="70"/>
      <c r="C1470" s="70"/>
      <c r="D1470" s="8"/>
      <c r="E1470" s="8"/>
    </row>
    <row r="1471" spans="1:5" x14ac:dyDescent="0.2">
      <c r="A1471" s="82"/>
      <c r="B1471" s="70"/>
      <c r="C1471" s="70"/>
      <c r="D1471" s="8"/>
      <c r="E1471" s="8"/>
    </row>
    <row r="1472" spans="1:5" x14ac:dyDescent="0.2">
      <c r="A1472" s="82"/>
      <c r="B1472" s="70"/>
      <c r="C1472" s="70"/>
      <c r="D1472" s="8"/>
      <c r="E1472" s="8"/>
    </row>
    <row r="1473" spans="1:5" x14ac:dyDescent="0.2">
      <c r="A1473" s="82"/>
      <c r="B1473" s="70"/>
      <c r="C1473" s="70"/>
      <c r="D1473" s="8"/>
      <c r="E1473" s="8"/>
    </row>
    <row r="1474" spans="1:5" x14ac:dyDescent="0.2">
      <c r="A1474" s="82"/>
      <c r="B1474" s="70"/>
      <c r="C1474" s="70"/>
      <c r="D1474" s="8"/>
      <c r="E1474" s="8"/>
    </row>
    <row r="1475" spans="1:5" x14ac:dyDescent="0.2">
      <c r="A1475" s="82"/>
      <c r="B1475" s="70"/>
      <c r="C1475" s="70"/>
      <c r="D1475" s="8"/>
      <c r="E1475" s="8"/>
    </row>
    <row r="1476" spans="1:5" x14ac:dyDescent="0.2">
      <c r="A1476" s="82"/>
      <c r="B1476" s="70"/>
      <c r="C1476" s="70"/>
      <c r="D1476" s="8"/>
      <c r="E1476" s="8"/>
    </row>
    <row r="1477" spans="1:5" x14ac:dyDescent="0.2">
      <c r="A1477" s="82"/>
      <c r="B1477" s="70"/>
      <c r="C1477" s="70"/>
      <c r="D1477" s="8"/>
      <c r="E1477" s="8"/>
    </row>
    <row r="1478" spans="1:5" x14ac:dyDescent="0.2">
      <c r="A1478" s="82"/>
      <c r="B1478" s="70"/>
      <c r="C1478" s="70"/>
      <c r="D1478" s="8"/>
      <c r="E1478" s="8"/>
    </row>
    <row r="1479" spans="1:5" x14ac:dyDescent="0.2">
      <c r="A1479" s="82"/>
      <c r="B1479" s="70"/>
      <c r="C1479" s="70"/>
      <c r="D1479" s="8"/>
      <c r="E1479" s="8"/>
    </row>
    <row r="1480" spans="1:5" x14ac:dyDescent="0.2">
      <c r="A1480" s="82"/>
      <c r="B1480" s="70"/>
      <c r="C1480" s="70"/>
      <c r="D1480" s="8"/>
      <c r="E1480" s="8"/>
    </row>
  </sheetData>
  <mergeCells count="16">
    <mergeCell ref="M5:M6"/>
    <mergeCell ref="N5:N6"/>
    <mergeCell ref="O5:O6"/>
    <mergeCell ref="P5:P6"/>
    <mergeCell ref="H5:L5"/>
    <mergeCell ref="A5:A6"/>
    <mergeCell ref="C5:C6"/>
    <mergeCell ref="G5:G6"/>
    <mergeCell ref="D5:F5"/>
    <mergeCell ref="B5:B6"/>
    <mergeCell ref="H1:I1"/>
    <mergeCell ref="H2:I2"/>
    <mergeCell ref="H3:I3"/>
    <mergeCell ref="B1:D1"/>
    <mergeCell ref="B2:D2"/>
    <mergeCell ref="B3:D3"/>
  </mergeCells>
  <conditionalFormatting sqref="K82:K96 K15:K71">
    <cfRule type="cellIs" dxfId="1929" priority="101" operator="between">
      <formula>16</formula>
      <formula>25</formula>
    </cfRule>
    <cfRule type="cellIs" dxfId="1928" priority="102" operator="between">
      <formula>10</formula>
      <formula>15</formula>
    </cfRule>
    <cfRule type="cellIs" dxfId="1927" priority="103" operator="between">
      <formula>5</formula>
      <formula>9</formula>
    </cfRule>
    <cfRule type="cellIs" dxfId="1926" priority="104" operator="between">
      <formula>0</formula>
      <formula>4</formula>
    </cfRule>
  </conditionalFormatting>
  <conditionalFormatting sqref="B15:B1480">
    <cfRule type="containsText" dxfId="1925" priority="91" operator="containsText" text="WHS">
      <formula>NOT(ISERROR(SEARCH("WHS",B15)))</formula>
    </cfRule>
    <cfRule type="containsText" dxfId="1924" priority="92" operator="containsText" text="Environment">
      <formula>NOT(ISERROR(SEARCH("Environment",B15)))</formula>
    </cfRule>
  </conditionalFormatting>
  <conditionalFormatting sqref="B4:B6 B15:B1480">
    <cfRule type="containsText" dxfId="1923" priority="89" operator="containsText" text="Quality">
      <formula>NOT(ISERROR(SEARCH("Quality",B4)))</formula>
    </cfRule>
  </conditionalFormatting>
  <conditionalFormatting sqref="F15:F909">
    <cfRule type="cellIs" dxfId="1922" priority="109" operator="between">
      <formula>16</formula>
      <formula>25</formula>
    </cfRule>
    <cfRule type="cellIs" dxfId="1921" priority="110" operator="between">
      <formula>10</formula>
      <formula>15</formula>
    </cfRule>
    <cfRule type="cellIs" dxfId="1920" priority="111" operator="between">
      <formula>5</formula>
      <formula>9</formula>
    </cfRule>
    <cfRule type="cellIs" dxfId="1919" priority="112" operator="between">
      <formula>0</formula>
      <formula>4</formula>
    </cfRule>
  </conditionalFormatting>
  <conditionalFormatting sqref="K72:K909">
    <cfRule type="cellIs" dxfId="1918" priority="93" operator="between">
      <formula>16</formula>
      <formula>25</formula>
    </cfRule>
    <cfRule type="cellIs" dxfId="1917" priority="94" operator="between">
      <formula>10</formula>
      <formula>15</formula>
    </cfRule>
    <cfRule type="cellIs" dxfId="1916" priority="95" operator="between">
      <formula>5</formula>
      <formula>9</formula>
    </cfRule>
    <cfRule type="cellIs" dxfId="1915" priority="96" operator="between">
      <formula>0</formula>
      <formula>4</formula>
    </cfRule>
  </conditionalFormatting>
  <conditionalFormatting sqref="K14">
    <cfRule type="cellIs" dxfId="1914" priority="81" operator="between">
      <formula>16</formula>
      <formula>25</formula>
    </cfRule>
    <cfRule type="cellIs" dxfId="1913" priority="82" operator="between">
      <formula>10</formula>
      <formula>15</formula>
    </cfRule>
    <cfRule type="cellIs" dxfId="1912" priority="83" operator="between">
      <formula>5</formula>
      <formula>9</formula>
    </cfRule>
    <cfRule type="cellIs" dxfId="1911" priority="84" operator="between">
      <formula>0</formula>
      <formula>4</formula>
    </cfRule>
  </conditionalFormatting>
  <conditionalFormatting sqref="B14">
    <cfRule type="containsText" dxfId="1910" priority="79" operator="containsText" text="WHS">
      <formula>NOT(ISERROR(SEARCH("WHS",B14)))</formula>
    </cfRule>
    <cfRule type="containsText" dxfId="1909" priority="80" operator="containsText" text="Environment">
      <formula>NOT(ISERROR(SEARCH("Environment",B14)))</formula>
    </cfRule>
  </conditionalFormatting>
  <conditionalFormatting sqref="B14">
    <cfRule type="containsText" dxfId="1908" priority="78" operator="containsText" text="Quality">
      <formula>NOT(ISERROR(SEARCH("Quality",B14)))</formula>
    </cfRule>
  </conditionalFormatting>
  <conditionalFormatting sqref="F14">
    <cfRule type="cellIs" dxfId="1907" priority="85" operator="between">
      <formula>16</formula>
      <formula>25</formula>
    </cfRule>
    <cfRule type="cellIs" dxfId="1906" priority="86" operator="between">
      <formula>10</formula>
      <formula>15</formula>
    </cfRule>
    <cfRule type="cellIs" dxfId="1905" priority="87" operator="between">
      <formula>5</formula>
      <formula>9</formula>
    </cfRule>
    <cfRule type="cellIs" dxfId="1904" priority="88" operator="between">
      <formula>0</formula>
      <formula>4</formula>
    </cfRule>
  </conditionalFormatting>
  <conditionalFormatting sqref="K13">
    <cfRule type="cellIs" dxfId="1903" priority="70" operator="between">
      <formula>16</formula>
      <formula>25</formula>
    </cfRule>
    <cfRule type="cellIs" dxfId="1902" priority="71" operator="between">
      <formula>10</formula>
      <formula>15</formula>
    </cfRule>
    <cfRule type="cellIs" dxfId="1901" priority="72" operator="between">
      <formula>5</formula>
      <formula>9</formula>
    </cfRule>
    <cfRule type="cellIs" dxfId="1900" priority="73" operator="between">
      <formula>0</formula>
      <formula>4</formula>
    </cfRule>
  </conditionalFormatting>
  <conditionalFormatting sqref="B13">
    <cfRule type="containsText" dxfId="1899" priority="68" operator="containsText" text="WHS">
      <formula>NOT(ISERROR(SEARCH("WHS",B13)))</formula>
    </cfRule>
    <cfRule type="containsText" dxfId="1898" priority="69" operator="containsText" text="Environment">
      <formula>NOT(ISERROR(SEARCH("Environment",B13)))</formula>
    </cfRule>
  </conditionalFormatting>
  <conditionalFormatting sqref="B13">
    <cfRule type="containsText" dxfId="1897" priority="67" operator="containsText" text="Quality">
      <formula>NOT(ISERROR(SEARCH("Quality",B13)))</formula>
    </cfRule>
  </conditionalFormatting>
  <conditionalFormatting sqref="F13">
    <cfRule type="cellIs" dxfId="1896" priority="74" operator="between">
      <formula>16</formula>
      <formula>25</formula>
    </cfRule>
    <cfRule type="cellIs" dxfId="1895" priority="75" operator="between">
      <formula>10</formula>
      <formula>15</formula>
    </cfRule>
    <cfRule type="cellIs" dxfId="1894" priority="76" operator="between">
      <formula>5</formula>
      <formula>9</formula>
    </cfRule>
    <cfRule type="cellIs" dxfId="1893" priority="77" operator="between">
      <formula>0</formula>
      <formula>4</formula>
    </cfRule>
  </conditionalFormatting>
  <conditionalFormatting sqref="K12">
    <cfRule type="cellIs" dxfId="1892" priority="59" operator="between">
      <formula>16</formula>
      <formula>25</formula>
    </cfRule>
    <cfRule type="cellIs" dxfId="1891" priority="60" operator="between">
      <formula>10</formula>
      <formula>15</formula>
    </cfRule>
    <cfRule type="cellIs" dxfId="1890" priority="61" operator="between">
      <formula>5</formula>
      <formula>9</formula>
    </cfRule>
    <cfRule type="cellIs" dxfId="1889" priority="62" operator="between">
      <formula>0</formula>
      <formula>4</formula>
    </cfRule>
  </conditionalFormatting>
  <conditionalFormatting sqref="B12">
    <cfRule type="containsText" dxfId="1888" priority="57" operator="containsText" text="WHS">
      <formula>NOT(ISERROR(SEARCH("WHS",B12)))</formula>
    </cfRule>
    <cfRule type="containsText" dxfId="1887" priority="58" operator="containsText" text="Environment">
      <formula>NOT(ISERROR(SEARCH("Environment",B12)))</formula>
    </cfRule>
  </conditionalFormatting>
  <conditionalFormatting sqref="B12">
    <cfRule type="containsText" dxfId="1886" priority="56" operator="containsText" text="Quality">
      <formula>NOT(ISERROR(SEARCH("Quality",B12)))</formula>
    </cfRule>
  </conditionalFormatting>
  <conditionalFormatting sqref="F12">
    <cfRule type="cellIs" dxfId="1885" priority="63" operator="between">
      <formula>16</formula>
      <formula>25</formula>
    </cfRule>
    <cfRule type="cellIs" dxfId="1884" priority="64" operator="between">
      <formula>10</formula>
      <formula>15</formula>
    </cfRule>
    <cfRule type="cellIs" dxfId="1883" priority="65" operator="between">
      <formula>5</formula>
      <formula>9</formula>
    </cfRule>
    <cfRule type="cellIs" dxfId="1882" priority="66" operator="between">
      <formula>0</formula>
      <formula>4</formula>
    </cfRule>
  </conditionalFormatting>
  <conditionalFormatting sqref="K11">
    <cfRule type="cellIs" dxfId="1881" priority="48" operator="between">
      <formula>16</formula>
      <formula>25</formula>
    </cfRule>
    <cfRule type="cellIs" dxfId="1880" priority="49" operator="between">
      <formula>10</formula>
      <formula>15</formula>
    </cfRule>
    <cfRule type="cellIs" dxfId="1879" priority="50" operator="between">
      <formula>5</formula>
      <formula>9</formula>
    </cfRule>
    <cfRule type="cellIs" dxfId="1878" priority="51" operator="between">
      <formula>0</formula>
      <formula>4</formula>
    </cfRule>
  </conditionalFormatting>
  <conditionalFormatting sqref="B11">
    <cfRule type="containsText" dxfId="1877" priority="46" operator="containsText" text="WHS">
      <formula>NOT(ISERROR(SEARCH("WHS",B11)))</formula>
    </cfRule>
    <cfRule type="containsText" dxfId="1876" priority="47" operator="containsText" text="Environment">
      <formula>NOT(ISERROR(SEARCH("Environment",B11)))</formula>
    </cfRule>
  </conditionalFormatting>
  <conditionalFormatting sqref="B11">
    <cfRule type="containsText" dxfId="1875" priority="45" operator="containsText" text="Quality">
      <formula>NOT(ISERROR(SEARCH("Quality",B11)))</formula>
    </cfRule>
  </conditionalFormatting>
  <conditionalFormatting sqref="F11">
    <cfRule type="cellIs" dxfId="1874" priority="52" operator="between">
      <formula>16</formula>
      <formula>25</formula>
    </cfRule>
    <cfRule type="cellIs" dxfId="1873" priority="53" operator="between">
      <formula>10</formula>
      <formula>15</formula>
    </cfRule>
    <cfRule type="cellIs" dxfId="1872" priority="54" operator="between">
      <formula>5</formula>
      <formula>9</formula>
    </cfRule>
    <cfRule type="cellIs" dxfId="1871" priority="55" operator="between">
      <formula>0</formula>
      <formula>4</formula>
    </cfRule>
  </conditionalFormatting>
  <conditionalFormatting sqref="K10">
    <cfRule type="cellIs" dxfId="1870" priority="37" operator="between">
      <formula>16</formula>
      <formula>25</formula>
    </cfRule>
    <cfRule type="cellIs" dxfId="1869" priority="38" operator="between">
      <formula>10</formula>
      <formula>15</formula>
    </cfRule>
    <cfRule type="cellIs" dxfId="1868" priority="39" operator="between">
      <formula>5</formula>
      <formula>9</formula>
    </cfRule>
    <cfRule type="cellIs" dxfId="1867" priority="40" operator="between">
      <formula>0</formula>
      <formula>4</formula>
    </cfRule>
  </conditionalFormatting>
  <conditionalFormatting sqref="B10">
    <cfRule type="containsText" dxfId="1866" priority="35" operator="containsText" text="WHS">
      <formula>NOT(ISERROR(SEARCH("WHS",B10)))</formula>
    </cfRule>
    <cfRule type="containsText" dxfId="1865" priority="36" operator="containsText" text="Environment">
      <formula>NOT(ISERROR(SEARCH("Environment",B10)))</formula>
    </cfRule>
  </conditionalFormatting>
  <conditionalFormatting sqref="B10">
    <cfRule type="containsText" dxfId="1864" priority="34" operator="containsText" text="Quality">
      <formula>NOT(ISERROR(SEARCH("Quality",B10)))</formula>
    </cfRule>
  </conditionalFormatting>
  <conditionalFormatting sqref="F10">
    <cfRule type="cellIs" dxfId="1863" priority="41" operator="between">
      <formula>16</formula>
      <formula>25</formula>
    </cfRule>
    <cfRule type="cellIs" dxfId="1862" priority="42" operator="between">
      <formula>10</formula>
      <formula>15</formula>
    </cfRule>
    <cfRule type="cellIs" dxfId="1861" priority="43" operator="between">
      <formula>5</formula>
      <formula>9</formula>
    </cfRule>
    <cfRule type="cellIs" dxfId="1860" priority="44" operator="between">
      <formula>0</formula>
      <formula>4</formula>
    </cfRule>
  </conditionalFormatting>
  <conditionalFormatting sqref="K9">
    <cfRule type="cellIs" dxfId="1859" priority="26" operator="between">
      <formula>16</formula>
      <formula>25</formula>
    </cfRule>
    <cfRule type="cellIs" dxfId="1858" priority="27" operator="between">
      <formula>10</formula>
      <formula>15</formula>
    </cfRule>
    <cfRule type="cellIs" dxfId="1857" priority="28" operator="between">
      <formula>5</formula>
      <formula>9</formula>
    </cfRule>
    <cfRule type="cellIs" dxfId="1856" priority="29" operator="between">
      <formula>0</formula>
      <formula>4</formula>
    </cfRule>
  </conditionalFormatting>
  <conditionalFormatting sqref="B9">
    <cfRule type="containsText" dxfId="1855" priority="24" operator="containsText" text="WHS">
      <formula>NOT(ISERROR(SEARCH("WHS",B9)))</formula>
    </cfRule>
    <cfRule type="containsText" dxfId="1854" priority="25" operator="containsText" text="Environment">
      <formula>NOT(ISERROR(SEARCH("Environment",B9)))</formula>
    </cfRule>
  </conditionalFormatting>
  <conditionalFormatting sqref="B9">
    <cfRule type="containsText" dxfId="1853" priority="23" operator="containsText" text="Quality">
      <formula>NOT(ISERROR(SEARCH("Quality",B9)))</formula>
    </cfRule>
  </conditionalFormatting>
  <conditionalFormatting sqref="F9">
    <cfRule type="cellIs" dxfId="1852" priority="30" operator="between">
      <formula>16</formula>
      <formula>25</formula>
    </cfRule>
    <cfRule type="cellIs" dxfId="1851" priority="31" operator="between">
      <formula>10</formula>
      <formula>15</formula>
    </cfRule>
    <cfRule type="cellIs" dxfId="1850" priority="32" operator="between">
      <formula>5</formula>
      <formula>9</formula>
    </cfRule>
    <cfRule type="cellIs" dxfId="1849" priority="33" operator="between">
      <formula>0</formula>
      <formula>4</formula>
    </cfRule>
  </conditionalFormatting>
  <conditionalFormatting sqref="K8">
    <cfRule type="cellIs" dxfId="1848" priority="15" operator="between">
      <formula>16</formula>
      <formula>25</formula>
    </cfRule>
    <cfRule type="cellIs" dxfId="1847" priority="16" operator="between">
      <formula>10</formula>
      <formula>15</formula>
    </cfRule>
    <cfRule type="cellIs" dxfId="1846" priority="17" operator="between">
      <formula>5</formula>
      <formula>9</formula>
    </cfRule>
    <cfRule type="cellIs" dxfId="1845" priority="18" operator="between">
      <formula>0</formula>
      <formula>4</formula>
    </cfRule>
  </conditionalFormatting>
  <conditionalFormatting sqref="B8">
    <cfRule type="containsText" dxfId="1844" priority="13" operator="containsText" text="WHS">
      <formula>NOT(ISERROR(SEARCH("WHS",B8)))</formula>
    </cfRule>
    <cfRule type="containsText" dxfId="1843" priority="14" operator="containsText" text="Environment">
      <formula>NOT(ISERROR(SEARCH("Environment",B8)))</formula>
    </cfRule>
  </conditionalFormatting>
  <conditionalFormatting sqref="B8">
    <cfRule type="containsText" dxfId="1842" priority="12" operator="containsText" text="Quality">
      <formula>NOT(ISERROR(SEARCH("Quality",B8)))</formula>
    </cfRule>
  </conditionalFormatting>
  <conditionalFormatting sqref="F8">
    <cfRule type="cellIs" dxfId="1841" priority="19" operator="between">
      <formula>16</formula>
      <formula>25</formula>
    </cfRule>
    <cfRule type="cellIs" dxfId="1840" priority="20" operator="between">
      <formula>10</formula>
      <formula>15</formula>
    </cfRule>
    <cfRule type="cellIs" dxfId="1839" priority="21" operator="between">
      <formula>5</formula>
      <formula>9</formula>
    </cfRule>
    <cfRule type="cellIs" dxfId="1838" priority="22" operator="between">
      <formula>0</formula>
      <formula>4</formula>
    </cfRule>
  </conditionalFormatting>
  <conditionalFormatting sqref="K7">
    <cfRule type="cellIs" dxfId="1837" priority="4" operator="between">
      <formula>16</formula>
      <formula>25</formula>
    </cfRule>
    <cfRule type="cellIs" dxfId="1836" priority="5" operator="between">
      <formula>10</formula>
      <formula>15</formula>
    </cfRule>
    <cfRule type="cellIs" dxfId="1835" priority="6" operator="between">
      <formula>5</formula>
      <formula>9</formula>
    </cfRule>
    <cfRule type="cellIs" dxfId="1834" priority="7" operator="between">
      <formula>0</formula>
      <formula>4</formula>
    </cfRule>
  </conditionalFormatting>
  <conditionalFormatting sqref="B7">
    <cfRule type="containsText" dxfId="1833" priority="2" operator="containsText" text="WHS">
      <formula>NOT(ISERROR(SEARCH("WHS",B7)))</formula>
    </cfRule>
    <cfRule type="containsText" dxfId="1832" priority="3" operator="containsText" text="Environment">
      <formula>NOT(ISERROR(SEARCH("Environment",B7)))</formula>
    </cfRule>
  </conditionalFormatting>
  <conditionalFormatting sqref="B7">
    <cfRule type="containsText" dxfId="1831" priority="1" operator="containsText" text="Quality">
      <formula>NOT(ISERROR(SEARCH("Quality",B7)))</formula>
    </cfRule>
  </conditionalFormatting>
  <conditionalFormatting sqref="F7">
    <cfRule type="cellIs" dxfId="1830" priority="8" operator="between">
      <formula>16</formula>
      <formula>25</formula>
    </cfRule>
    <cfRule type="cellIs" dxfId="1829" priority="9" operator="between">
      <formula>10</formula>
      <formula>15</formula>
    </cfRule>
    <cfRule type="cellIs" dxfId="1828" priority="10" operator="between">
      <formula>5</formula>
      <formula>9</formula>
    </cfRule>
    <cfRule type="cellIs" dxfId="1827" priority="11" operator="between">
      <formula>0</formula>
      <formula>4</formula>
    </cfRule>
  </conditionalFormatting>
  <dataValidations xWindow="1478" yWindow="574" count="4">
    <dataValidation allowBlank="1" showInputMessage="1" showErrorMessage="1" prompt="Select the Severity of the Risk" sqref="T31:T41 O30:O40" xr:uid="{00000000-0002-0000-0100-000000000000}"/>
    <dataValidation type="list" showInputMessage="1" showErrorMessage="1" sqref="D54:D1480" xr:uid="{00000000-0002-0000-0100-000001000000}">
      <formula1>Probability</formula1>
    </dataValidation>
    <dataValidation type="list" showInputMessage="1" showErrorMessage="1" sqref="E54:E1480" xr:uid="{00000000-0002-0000-0100-000002000000}">
      <formula1>INDIRECT($B54)</formula1>
    </dataValidation>
    <dataValidation type="list" allowBlank="1" showInputMessage="1" showErrorMessage="1" sqref="J57:J1270" xr:uid="{00000000-0002-0000-0100-000003000000}">
      <formula1>INDIRECT($B57)</formula1>
    </dataValidation>
  </dataValidations>
  <pageMargins left="0.70866141732283472" right="0.70866141732283472" top="0.74803149606299213" bottom="0.74803149606299213" header="0.31496062992125984" footer="0.31496062992125984"/>
  <pageSetup paperSize="9" orientation="landscape" horizontalDpi="300" verticalDpi="300" r:id="rId1"/>
  <headerFooter>
    <oddHeader xml:space="preserve">&amp;L&amp;"Arial,Regular"&amp;14Quality, Safety and Environment_TEMPLATE_SPA_RISK_REGISTER
&amp;R &amp;G   
</oddHeader>
    <oddFooter xml:space="preserve">&amp;L&amp;"Arial,Regular"&amp;6Version:24/08/2016 by HK
Printed: &amp;D
Uncontrolled when printed.  Refer to digital copy on server for latest version                 
&amp;CPage &amp;P of &amp;N
&amp;R&amp;"Arial,Regular"&amp;6&amp;F
Can be edited by:SP, JE, HK
</oddFooter>
  </headerFooter>
  <legacyDrawingHF r:id="rId2"/>
  <extLst>
    <ext xmlns:x14="http://schemas.microsoft.com/office/spreadsheetml/2009/9/main" uri="{CCE6A557-97BC-4b89-ADB6-D9C93CAAB3DF}">
      <x14:dataValidations xmlns:xm="http://schemas.microsoft.com/office/excel/2006/main" xWindow="1478" yWindow="574" count="6">
        <x14:dataValidation type="list" allowBlank="1" showInputMessage="1" showErrorMessage="1" xr:uid="{00000000-0002-0000-0100-000004000000}">
          <x14:formula1>
            <xm:f>'Risk Information '!$A$9:$A$13</xm:f>
          </x14:formula1>
          <xm:sqref>E17:E53 J17 J19:J56</xm:sqref>
        </x14:dataValidation>
        <x14:dataValidation type="list" allowBlank="1" showInputMessage="1" showErrorMessage="1" prompt="Select the Likelihood of the Risk Occuring_x000a_" xr:uid="{00000000-0002-0000-0100-000005000000}">
          <x14:formula1>
            <xm:f>'Risk Information '!$A$9:$A$13</xm:f>
          </x14:formula1>
          <xm:sqref>E7:E16 J18 J7:J16</xm:sqref>
        </x14:dataValidation>
        <x14:dataValidation type="list" allowBlank="1" showInputMessage="1" showErrorMessage="1" xr:uid="{00000000-0002-0000-0100-000006000000}">
          <x14:formula1>
            <xm:f>'Risk Information '!$D$16:$D$20</xm:f>
          </x14:formula1>
          <xm:sqref>S17:S45 N7:N44 C4:D4</xm:sqref>
        </x14:dataValidation>
        <x14:dataValidation type="list" showInputMessage="1" showErrorMessage="1" xr:uid="{00000000-0002-0000-0100-000007000000}">
          <x14:formula1>
            <xm:f>'Risk Information '!$A$34:$A$37</xm:f>
          </x14:formula1>
          <xm:sqref>B7:B1480</xm:sqref>
        </x14:dataValidation>
        <x14:dataValidation type="list" allowBlank="1" showInputMessage="1" showErrorMessage="1" xr:uid="{00000000-0002-0000-0100-000008000000}">
          <x14:formula1>
            <xm:f>'Risk Information '!$A$2:$A$7</xm:f>
          </x14:formula1>
          <xm:sqref>D17:D53 I17:I1270</xm:sqref>
        </x14:dataValidation>
        <x14:dataValidation type="list" allowBlank="1" showInputMessage="1" showErrorMessage="1" prompt="Select the Severity of the Risk" xr:uid="{00000000-0002-0000-0100-000009000000}">
          <x14:formula1>
            <xm:f>'Risk Information '!$A$2:$A$7</xm:f>
          </x14:formula1>
          <xm:sqref>D7:D16 I7:I16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G61"/>
  <sheetViews>
    <sheetView topLeftCell="A35" zoomScale="70" zoomScaleNormal="70" workbookViewId="0">
      <selection activeCell="O47" sqref="O47"/>
    </sheetView>
  </sheetViews>
  <sheetFormatPr defaultRowHeight="15" x14ac:dyDescent="0.25"/>
  <cols>
    <col min="2" max="2" width="21" customWidth="1"/>
    <col min="3" max="3" width="13" customWidth="1"/>
    <col min="4" max="4" width="11" customWidth="1"/>
    <col min="7" max="7" width="12.5703125" customWidth="1"/>
    <col min="10" max="11" width="9.140625" customWidth="1"/>
    <col min="12" max="12" width="13.28515625" customWidth="1"/>
    <col min="14" max="14" width="10.7109375" customWidth="1"/>
    <col min="17" max="17" width="18" customWidth="1"/>
    <col min="18" max="18" width="13.7109375" customWidth="1"/>
    <col min="19" max="19" width="20.7109375" customWidth="1"/>
    <col min="20" max="20" width="21.28515625" customWidth="1"/>
    <col min="21" max="21" width="25.5703125" customWidth="1"/>
    <col min="22" max="23" width="12.42578125" customWidth="1"/>
    <col min="24" max="24" width="30" customWidth="1"/>
    <col min="25" max="25" width="25.5703125" customWidth="1"/>
    <col min="26" max="26" width="17.42578125" customWidth="1"/>
    <col min="27" max="27" width="18.28515625" customWidth="1"/>
  </cols>
  <sheetData>
    <row r="1" spans="1:33" x14ac:dyDescent="0.25">
      <c r="B1" s="30"/>
      <c r="C1" s="30"/>
      <c r="D1" s="30"/>
      <c r="E1" s="30"/>
      <c r="F1" s="30"/>
      <c r="G1" s="30"/>
      <c r="H1" s="30"/>
      <c r="I1" s="30"/>
      <c r="J1" s="30"/>
      <c r="K1" s="30"/>
      <c r="L1" s="30"/>
      <c r="M1" s="30"/>
    </row>
    <row r="2" spans="1:33" x14ac:dyDescent="0.25">
      <c r="N2" s="32"/>
      <c r="O2" s="32"/>
      <c r="P2" s="32"/>
      <c r="Q2" s="32"/>
      <c r="R2" s="32"/>
      <c r="S2" s="32"/>
      <c r="T2" s="32"/>
      <c r="U2" s="32"/>
      <c r="V2" s="32"/>
      <c r="W2" s="32"/>
      <c r="X2" s="32"/>
      <c r="Y2" s="32"/>
      <c r="Z2" s="32"/>
      <c r="AA2" s="32"/>
      <c r="AB2" s="32"/>
      <c r="AC2" s="32"/>
      <c r="AD2" s="32"/>
      <c r="AE2" s="32"/>
      <c r="AF2" s="32"/>
      <c r="AG2" s="32"/>
    </row>
    <row r="3" spans="1:33" x14ac:dyDescent="0.25">
      <c r="A3" s="70"/>
      <c r="B3" s="70"/>
      <c r="C3" s="70"/>
      <c r="D3" s="8"/>
      <c r="E3" s="8"/>
      <c r="F3" s="9"/>
      <c r="G3" s="8"/>
      <c r="H3" s="24"/>
      <c r="I3" s="8"/>
      <c r="J3" s="8"/>
      <c r="K3" s="9"/>
      <c r="L3" s="8"/>
      <c r="AA3" s="32"/>
      <c r="AB3" s="32"/>
      <c r="AC3" s="32"/>
      <c r="AD3" s="32"/>
      <c r="AE3" s="32"/>
      <c r="AF3" s="32"/>
      <c r="AG3" s="32"/>
    </row>
    <row r="4" spans="1:33" ht="15.75" thickBot="1" x14ac:dyDescent="0.3">
      <c r="B4" s="30"/>
      <c r="C4" s="30"/>
      <c r="N4" s="32"/>
      <c r="O4" s="32"/>
      <c r="P4" s="32"/>
      <c r="Q4" s="32"/>
      <c r="R4" s="32"/>
      <c r="S4" s="32"/>
      <c r="T4" s="32"/>
      <c r="U4" s="32"/>
      <c r="V4" s="32"/>
      <c r="W4" s="32"/>
      <c r="X4" s="32"/>
      <c r="Y4" s="32"/>
      <c r="Z4" s="32"/>
      <c r="AA4" s="32"/>
      <c r="AB4" s="32"/>
      <c r="AC4" s="32"/>
      <c r="AD4" s="32"/>
      <c r="AE4" s="32"/>
      <c r="AF4" s="32"/>
      <c r="AG4" s="32"/>
    </row>
    <row r="5" spans="1:33" ht="34.5" customHeight="1" thickTop="1" x14ac:dyDescent="0.25">
      <c r="B5" s="203" t="s">
        <v>201</v>
      </c>
      <c r="C5" s="204"/>
      <c r="D5" s="204"/>
      <c r="E5" s="204"/>
      <c r="F5" s="204"/>
      <c r="G5" s="204"/>
      <c r="H5" s="204"/>
      <c r="I5" s="204"/>
      <c r="J5" s="204"/>
      <c r="K5" s="204"/>
      <c r="L5" s="204"/>
      <c r="M5" s="205"/>
      <c r="N5" s="32"/>
      <c r="O5" s="32"/>
      <c r="Z5" s="32"/>
      <c r="AA5" s="32"/>
      <c r="AB5" s="32"/>
      <c r="AC5" s="32"/>
      <c r="AD5" s="32"/>
      <c r="AE5" s="32"/>
      <c r="AF5" s="32"/>
      <c r="AG5" s="32"/>
    </row>
    <row r="6" spans="1:33" ht="15.75" thickBot="1" x14ac:dyDescent="0.3">
      <c r="B6" s="206"/>
      <c r="C6" s="207"/>
      <c r="D6" s="207"/>
      <c r="E6" s="207"/>
      <c r="F6" s="207"/>
      <c r="G6" s="207"/>
      <c r="H6" s="207"/>
      <c r="I6" s="207"/>
      <c r="J6" s="207"/>
      <c r="K6" s="207"/>
      <c r="L6" s="207"/>
      <c r="M6" s="208"/>
      <c r="N6" s="32"/>
      <c r="O6" s="32"/>
      <c r="Z6" s="32"/>
      <c r="AA6" s="32"/>
      <c r="AB6" s="32"/>
      <c r="AC6" s="32"/>
      <c r="AD6" s="32"/>
      <c r="AE6" s="32"/>
      <c r="AF6" s="32"/>
      <c r="AG6" s="32"/>
    </row>
    <row r="7" spans="1:33" ht="15.75" thickTop="1" x14ac:dyDescent="0.25">
      <c r="B7" s="115" t="s">
        <v>202</v>
      </c>
      <c r="C7" s="116"/>
      <c r="D7" s="197" t="s">
        <v>203</v>
      </c>
      <c r="E7" s="198"/>
      <c r="F7" s="198"/>
      <c r="G7" s="198"/>
      <c r="H7" s="198"/>
      <c r="I7" s="198"/>
      <c r="J7" s="198"/>
      <c r="K7" s="198"/>
      <c r="L7" s="198"/>
      <c r="M7" s="199"/>
      <c r="N7" s="32"/>
      <c r="O7" s="32"/>
      <c r="Z7" s="32"/>
      <c r="AA7" s="32"/>
      <c r="AB7" s="32"/>
      <c r="AC7" s="32"/>
      <c r="AD7" s="32"/>
      <c r="AE7" s="32"/>
      <c r="AF7" s="32"/>
      <c r="AG7" s="32"/>
    </row>
    <row r="8" spans="1:33" ht="34.5" customHeight="1" x14ac:dyDescent="0.25">
      <c r="B8" s="117"/>
      <c r="C8" s="118"/>
      <c r="D8" s="200"/>
      <c r="E8" s="201"/>
      <c r="F8" s="201"/>
      <c r="G8" s="201"/>
      <c r="H8" s="201"/>
      <c r="I8" s="201"/>
      <c r="J8" s="201"/>
      <c r="K8" s="201"/>
      <c r="L8" s="201"/>
      <c r="M8" s="202"/>
      <c r="N8" s="32"/>
      <c r="O8" s="32"/>
      <c r="Z8" s="32"/>
      <c r="AA8" s="32"/>
      <c r="AB8" s="32"/>
      <c r="AC8" s="32"/>
      <c r="AD8" s="32"/>
      <c r="AE8" s="32"/>
      <c r="AF8" s="32"/>
      <c r="AG8" s="32"/>
    </row>
    <row r="9" spans="1:33" ht="15" customHeight="1" x14ac:dyDescent="0.25">
      <c r="B9" s="117"/>
      <c r="C9" s="118"/>
      <c r="D9" s="211" t="s">
        <v>204</v>
      </c>
      <c r="E9" s="212"/>
      <c r="F9" s="212" t="s">
        <v>205</v>
      </c>
      <c r="G9" s="212"/>
      <c r="H9" s="212" t="s">
        <v>206</v>
      </c>
      <c r="I9" s="212"/>
      <c r="J9" s="212" t="s">
        <v>207</v>
      </c>
      <c r="K9" s="212"/>
      <c r="L9" s="212" t="s">
        <v>208</v>
      </c>
      <c r="M9" s="218"/>
      <c r="N9" s="32"/>
      <c r="O9" s="32"/>
      <c r="Z9" s="32"/>
      <c r="AA9" s="32"/>
      <c r="AB9" s="32"/>
      <c r="AC9" s="32"/>
      <c r="AD9" s="32"/>
      <c r="AE9" s="32"/>
      <c r="AF9" s="32"/>
      <c r="AG9" s="32"/>
    </row>
    <row r="10" spans="1:33" ht="34.5" customHeight="1" thickBot="1" x14ac:dyDescent="0.3">
      <c r="B10" s="119"/>
      <c r="C10" s="120"/>
      <c r="D10" s="213"/>
      <c r="E10" s="214"/>
      <c r="F10" s="214"/>
      <c r="G10" s="214"/>
      <c r="H10" s="214"/>
      <c r="I10" s="214"/>
      <c r="J10" s="214"/>
      <c r="K10" s="214"/>
      <c r="L10" s="214"/>
      <c r="M10" s="219"/>
      <c r="N10" s="32"/>
      <c r="O10" s="32"/>
      <c r="Z10" s="32"/>
      <c r="AA10" s="32"/>
      <c r="AB10" s="32"/>
      <c r="AC10" s="32"/>
      <c r="AD10" s="32"/>
      <c r="AE10" s="32"/>
      <c r="AF10" s="32"/>
      <c r="AG10" s="32"/>
    </row>
    <row r="11" spans="1:33" ht="12.75" hidden="1" customHeight="1" x14ac:dyDescent="0.25">
      <c r="B11" s="172" t="s">
        <v>209</v>
      </c>
      <c r="C11" s="173"/>
      <c r="D11" s="186" t="s">
        <v>160</v>
      </c>
      <c r="E11" s="187"/>
      <c r="F11" s="187" t="s">
        <v>218</v>
      </c>
      <c r="G11" s="187"/>
      <c r="H11" s="187" t="s">
        <v>219</v>
      </c>
      <c r="I11" s="187"/>
      <c r="J11" s="187" t="s">
        <v>220</v>
      </c>
      <c r="K11" s="187"/>
      <c r="L11" s="215" t="s">
        <v>221</v>
      </c>
      <c r="M11" s="216"/>
      <c r="N11" s="32"/>
      <c r="O11" s="32"/>
      <c r="Z11" s="32"/>
      <c r="AA11" s="32"/>
      <c r="AB11" s="32"/>
      <c r="AC11" s="32"/>
      <c r="AD11" s="32"/>
      <c r="AE11" s="32"/>
      <c r="AF11" s="32"/>
      <c r="AG11" s="32"/>
    </row>
    <row r="12" spans="1:33" ht="15.75" thickTop="1" x14ac:dyDescent="0.25">
      <c r="B12" s="174"/>
      <c r="C12" s="175"/>
      <c r="D12" s="188"/>
      <c r="E12" s="167"/>
      <c r="F12" s="167"/>
      <c r="G12" s="167"/>
      <c r="H12" s="167"/>
      <c r="I12" s="167"/>
      <c r="J12" s="167"/>
      <c r="K12" s="167"/>
      <c r="L12" s="168"/>
      <c r="M12" s="217"/>
      <c r="N12" s="32"/>
      <c r="O12" s="32"/>
      <c r="Z12" s="32"/>
      <c r="AA12" s="32"/>
      <c r="AB12" s="32"/>
      <c r="AC12" s="32"/>
      <c r="AD12" s="32"/>
      <c r="AE12" s="32"/>
      <c r="AF12" s="32"/>
      <c r="AG12" s="32"/>
    </row>
    <row r="13" spans="1:33" ht="27" customHeight="1" x14ac:dyDescent="0.25">
      <c r="B13" s="176" t="s">
        <v>210</v>
      </c>
      <c r="C13" s="177"/>
      <c r="D13" s="188" t="s">
        <v>218</v>
      </c>
      <c r="E13" s="167"/>
      <c r="F13" s="167" t="s">
        <v>220</v>
      </c>
      <c r="G13" s="167"/>
      <c r="H13" s="168" t="s">
        <v>229</v>
      </c>
      <c r="I13" s="168"/>
      <c r="J13" s="168" t="s">
        <v>228</v>
      </c>
      <c r="K13" s="168"/>
      <c r="L13" s="169" t="s">
        <v>222</v>
      </c>
      <c r="M13" s="170"/>
      <c r="N13" s="32"/>
      <c r="O13" s="32"/>
      <c r="Z13" s="32"/>
      <c r="AA13" s="32"/>
      <c r="AB13" s="32"/>
      <c r="AC13" s="32"/>
      <c r="AD13" s="32"/>
      <c r="AE13" s="32"/>
      <c r="AF13" s="32"/>
      <c r="AG13" s="32"/>
    </row>
    <row r="14" spans="1:33" ht="32.25" customHeight="1" x14ac:dyDescent="0.25">
      <c r="B14" s="176"/>
      <c r="C14" s="177"/>
      <c r="D14" s="188"/>
      <c r="E14" s="167"/>
      <c r="F14" s="167"/>
      <c r="G14" s="167"/>
      <c r="H14" s="168"/>
      <c r="I14" s="168"/>
      <c r="J14" s="168"/>
      <c r="K14" s="168"/>
      <c r="L14" s="169"/>
      <c r="M14" s="170"/>
      <c r="N14" s="32"/>
      <c r="O14" s="32"/>
      <c r="Z14" s="32"/>
      <c r="AA14" s="32"/>
      <c r="AB14" s="32"/>
      <c r="AC14" s="32"/>
      <c r="AD14" s="32"/>
      <c r="AE14" s="32"/>
      <c r="AF14" s="32"/>
      <c r="AG14" s="32"/>
    </row>
    <row r="15" spans="1:33" ht="8.25" customHeight="1" x14ac:dyDescent="0.25">
      <c r="B15" s="178" t="s">
        <v>211</v>
      </c>
      <c r="C15" s="179"/>
      <c r="D15" s="188" t="s">
        <v>219</v>
      </c>
      <c r="E15" s="167"/>
      <c r="F15" s="168" t="s">
        <v>229</v>
      </c>
      <c r="G15" s="168"/>
      <c r="H15" s="168" t="s">
        <v>230</v>
      </c>
      <c r="I15" s="168"/>
      <c r="J15" s="169" t="s">
        <v>224</v>
      </c>
      <c r="K15" s="169"/>
      <c r="L15" s="169" t="s">
        <v>223</v>
      </c>
      <c r="M15" s="170"/>
      <c r="N15" s="32"/>
      <c r="O15" s="32"/>
      <c r="Z15" s="32"/>
      <c r="AA15" s="32"/>
      <c r="AB15" s="32"/>
      <c r="AC15" s="32"/>
      <c r="AD15" s="32"/>
      <c r="AE15" s="32"/>
      <c r="AF15" s="32"/>
      <c r="AG15" s="32"/>
    </row>
    <row r="16" spans="1:33" x14ac:dyDescent="0.25">
      <c r="B16" s="174"/>
      <c r="C16" s="175"/>
      <c r="D16" s="188"/>
      <c r="E16" s="167"/>
      <c r="F16" s="168"/>
      <c r="G16" s="168"/>
      <c r="H16" s="168"/>
      <c r="I16" s="168"/>
      <c r="J16" s="169"/>
      <c r="K16" s="169"/>
      <c r="L16" s="169"/>
      <c r="M16" s="170"/>
      <c r="N16" s="32"/>
      <c r="O16" s="32"/>
      <c r="P16" s="32"/>
      <c r="Q16" s="32"/>
      <c r="R16" s="32"/>
      <c r="S16" s="32"/>
      <c r="T16" s="32"/>
      <c r="U16" s="32"/>
      <c r="V16" s="32"/>
      <c r="W16" s="32"/>
      <c r="X16" s="32"/>
      <c r="Y16" s="32"/>
      <c r="Z16" s="32"/>
      <c r="AA16" s="32"/>
      <c r="AB16" s="32"/>
      <c r="AC16" s="32"/>
      <c r="AD16" s="32"/>
      <c r="AE16" s="32"/>
      <c r="AF16" s="32"/>
      <c r="AG16" s="32"/>
    </row>
    <row r="17" spans="2:33" x14ac:dyDescent="0.25">
      <c r="B17" s="176" t="s">
        <v>212</v>
      </c>
      <c r="C17" s="177"/>
      <c r="D17" s="188" t="s">
        <v>220</v>
      </c>
      <c r="E17" s="167"/>
      <c r="F17" s="168" t="s">
        <v>228</v>
      </c>
      <c r="G17" s="168"/>
      <c r="H17" s="169" t="s">
        <v>224</v>
      </c>
      <c r="I17" s="169"/>
      <c r="J17" s="195" t="s">
        <v>225</v>
      </c>
      <c r="K17" s="195"/>
      <c r="L17" s="195" t="s">
        <v>226</v>
      </c>
      <c r="M17" s="196"/>
      <c r="N17" s="32"/>
      <c r="O17" s="32"/>
      <c r="P17" s="32"/>
      <c r="Q17" s="32"/>
      <c r="R17" s="32"/>
      <c r="S17" s="32"/>
      <c r="T17" s="32"/>
      <c r="U17" s="32"/>
      <c r="V17" s="32"/>
      <c r="W17" s="32"/>
      <c r="X17" s="32"/>
      <c r="Y17" s="32"/>
      <c r="Z17" s="32"/>
      <c r="AA17" s="32"/>
      <c r="AB17" s="32"/>
      <c r="AC17" s="32"/>
      <c r="AD17" s="32"/>
      <c r="AE17" s="32"/>
      <c r="AF17" s="32"/>
      <c r="AG17" s="32"/>
    </row>
    <row r="18" spans="2:33" x14ac:dyDescent="0.25">
      <c r="B18" s="176"/>
      <c r="C18" s="177"/>
      <c r="D18" s="188"/>
      <c r="E18" s="167"/>
      <c r="F18" s="168"/>
      <c r="G18" s="168"/>
      <c r="H18" s="169"/>
      <c r="I18" s="169"/>
      <c r="J18" s="195"/>
      <c r="K18" s="195"/>
      <c r="L18" s="195"/>
      <c r="M18" s="196"/>
      <c r="N18" s="32"/>
      <c r="O18" s="32"/>
      <c r="P18" s="32"/>
      <c r="Q18" s="32"/>
      <c r="R18" s="32"/>
      <c r="S18" s="32"/>
      <c r="T18" s="32"/>
      <c r="U18" s="32"/>
      <c r="V18" s="32"/>
      <c r="W18" s="32"/>
      <c r="X18" s="32"/>
      <c r="Y18" s="32"/>
      <c r="Z18" s="32"/>
      <c r="AA18" s="32"/>
      <c r="AB18" s="32"/>
      <c r="AC18" s="32"/>
      <c r="AD18" s="32"/>
      <c r="AE18" s="32"/>
      <c r="AF18" s="32"/>
      <c r="AG18" s="32"/>
    </row>
    <row r="19" spans="2:33" x14ac:dyDescent="0.25">
      <c r="B19" s="178" t="s">
        <v>213</v>
      </c>
      <c r="C19" s="179"/>
      <c r="D19" s="182" t="s">
        <v>221</v>
      </c>
      <c r="E19" s="168"/>
      <c r="F19" s="169" t="s">
        <v>222</v>
      </c>
      <c r="G19" s="169"/>
      <c r="H19" s="169" t="s">
        <v>223</v>
      </c>
      <c r="I19" s="169"/>
      <c r="J19" s="195" t="s">
        <v>226</v>
      </c>
      <c r="K19" s="195"/>
      <c r="L19" s="195" t="s">
        <v>227</v>
      </c>
      <c r="M19" s="196"/>
      <c r="N19" s="32"/>
      <c r="O19" s="32"/>
      <c r="P19" s="32"/>
      <c r="Q19" s="32"/>
      <c r="R19" s="32"/>
      <c r="S19" s="32"/>
      <c r="T19" s="32"/>
      <c r="U19" s="32"/>
      <c r="V19" s="32"/>
      <c r="W19" s="32"/>
      <c r="X19" s="32"/>
      <c r="Y19" s="32"/>
      <c r="Z19" s="32"/>
      <c r="AA19" s="32"/>
      <c r="AB19" s="32"/>
      <c r="AC19" s="32"/>
      <c r="AD19" s="32"/>
      <c r="AE19" s="32"/>
      <c r="AF19" s="32"/>
      <c r="AG19" s="32"/>
    </row>
    <row r="20" spans="2:33" ht="15.75" thickBot="1" x14ac:dyDescent="0.3">
      <c r="B20" s="180"/>
      <c r="C20" s="181"/>
      <c r="D20" s="183"/>
      <c r="E20" s="184"/>
      <c r="F20" s="185"/>
      <c r="G20" s="185"/>
      <c r="H20" s="185"/>
      <c r="I20" s="185"/>
      <c r="J20" s="209"/>
      <c r="K20" s="209"/>
      <c r="L20" s="209"/>
      <c r="M20" s="210"/>
      <c r="N20" s="32"/>
      <c r="O20" s="32"/>
      <c r="P20" s="32"/>
      <c r="Q20" s="32"/>
      <c r="R20" s="32"/>
      <c r="S20" s="32"/>
      <c r="T20" s="32"/>
      <c r="U20" s="32"/>
      <c r="V20" s="32"/>
      <c r="W20" s="32"/>
      <c r="X20" s="32"/>
      <c r="Y20" s="32"/>
      <c r="Z20" s="32"/>
      <c r="AA20" s="32"/>
      <c r="AB20" s="32"/>
      <c r="AC20" s="32"/>
      <c r="AD20" s="32"/>
      <c r="AE20" s="32"/>
      <c r="AF20" s="32"/>
      <c r="AG20" s="32"/>
    </row>
    <row r="21" spans="2:33" ht="15" customHeight="1" x14ac:dyDescent="0.25">
      <c r="B21" s="31"/>
      <c r="C21" s="31"/>
      <c r="N21" s="32"/>
      <c r="O21" s="32"/>
      <c r="P21" s="32"/>
      <c r="Q21" s="32"/>
      <c r="R21" s="32"/>
      <c r="S21" s="32"/>
      <c r="T21" s="32"/>
      <c r="U21" s="32"/>
      <c r="V21" s="32"/>
      <c r="W21" s="32"/>
      <c r="X21" s="32"/>
      <c r="Y21" s="32"/>
      <c r="Z21" s="32"/>
      <c r="AA21" s="32"/>
      <c r="AB21" s="32"/>
      <c r="AC21" s="32"/>
      <c r="AD21" s="32"/>
      <c r="AE21" s="32"/>
      <c r="AF21" s="32"/>
      <c r="AG21" s="32"/>
    </row>
    <row r="22" spans="2:33" ht="16.5" customHeight="1" thickBot="1" x14ac:dyDescent="0.3">
      <c r="N22" s="32"/>
      <c r="O22" s="32"/>
      <c r="P22" s="32"/>
      <c r="Q22" s="32"/>
      <c r="R22" s="32"/>
      <c r="S22" s="32"/>
      <c r="T22" s="32"/>
      <c r="U22" s="32"/>
      <c r="V22" s="32"/>
      <c r="W22" s="32"/>
      <c r="X22" s="32"/>
      <c r="Y22" s="32"/>
      <c r="Z22" s="32"/>
      <c r="AA22" s="32"/>
      <c r="AB22" s="32"/>
      <c r="AC22" s="32"/>
      <c r="AD22" s="32"/>
      <c r="AE22" s="32"/>
      <c r="AF22" s="32"/>
      <c r="AG22" s="32"/>
    </row>
    <row r="23" spans="2:33" ht="26.25" customHeight="1" thickTop="1" thickBot="1" x14ac:dyDescent="0.3">
      <c r="B23" s="189" t="s">
        <v>314</v>
      </c>
      <c r="C23" s="190"/>
      <c r="D23" s="190"/>
      <c r="E23" s="190"/>
      <c r="F23" s="190"/>
      <c r="G23" s="190"/>
      <c r="H23" s="190"/>
      <c r="I23" s="190"/>
      <c r="J23" s="190"/>
      <c r="K23" s="191"/>
      <c r="N23" s="32"/>
      <c r="O23" s="32"/>
      <c r="P23" s="32"/>
      <c r="Q23" s="32"/>
      <c r="R23" s="32"/>
      <c r="S23" s="32"/>
      <c r="T23" s="32"/>
      <c r="U23" s="32"/>
      <c r="V23" s="32"/>
      <c r="W23" s="32"/>
      <c r="X23" s="32"/>
      <c r="Y23" s="32"/>
      <c r="Z23" s="32"/>
      <c r="AA23" s="32"/>
      <c r="AB23" s="32"/>
      <c r="AC23" s="32"/>
      <c r="AD23" s="32"/>
      <c r="AE23" s="32"/>
      <c r="AF23" s="32"/>
      <c r="AG23" s="32"/>
    </row>
    <row r="24" spans="2:33" ht="26.25" hidden="1" customHeight="1" thickBot="1" x14ac:dyDescent="0.3">
      <c r="B24" s="44" t="s">
        <v>251</v>
      </c>
      <c r="C24" s="127" t="s">
        <v>200</v>
      </c>
      <c r="D24" s="128"/>
      <c r="E24" s="128"/>
      <c r="F24" s="128"/>
      <c r="G24" s="128"/>
      <c r="H24" s="128"/>
      <c r="I24" s="128"/>
      <c r="J24" s="128"/>
      <c r="K24" s="129"/>
      <c r="N24" s="32"/>
      <c r="O24" s="32"/>
      <c r="P24" s="32"/>
      <c r="Q24" s="32"/>
      <c r="R24" s="32"/>
      <c r="S24" s="32"/>
      <c r="T24" s="32"/>
      <c r="U24" s="32"/>
      <c r="V24" s="32"/>
      <c r="W24" s="32"/>
      <c r="X24" s="32"/>
      <c r="Y24" s="32"/>
      <c r="Z24" s="32"/>
      <c r="AA24" s="32"/>
      <c r="AB24" s="32"/>
      <c r="AC24" s="32"/>
      <c r="AD24" s="32"/>
      <c r="AE24" s="32"/>
      <c r="AF24" s="32"/>
      <c r="AG24" s="32"/>
    </row>
    <row r="25" spans="2:33" ht="27" hidden="1" customHeight="1" thickBot="1" x14ac:dyDescent="0.3">
      <c r="B25" s="38" t="s">
        <v>198</v>
      </c>
      <c r="C25" s="171" t="s">
        <v>126</v>
      </c>
      <c r="D25" s="105"/>
      <c r="E25" s="105"/>
      <c r="F25" s="105"/>
      <c r="G25" s="105"/>
      <c r="H25" s="105"/>
      <c r="I25" s="105"/>
      <c r="J25" s="42"/>
      <c r="K25" s="43"/>
      <c r="N25" s="32"/>
      <c r="O25" s="32"/>
      <c r="P25" s="32"/>
      <c r="Q25" s="32"/>
      <c r="R25" s="32"/>
      <c r="S25" s="32"/>
      <c r="T25" s="32"/>
      <c r="U25" s="32"/>
      <c r="V25" s="32"/>
      <c r="W25" s="32"/>
      <c r="X25" s="32"/>
      <c r="Y25" s="32"/>
      <c r="Z25" s="32"/>
      <c r="AA25" s="32"/>
      <c r="AB25" s="32"/>
      <c r="AC25" s="32"/>
      <c r="AD25" s="32"/>
      <c r="AE25" s="32"/>
      <c r="AF25" s="32"/>
      <c r="AG25" s="32"/>
    </row>
    <row r="26" spans="2:33" ht="27" customHeight="1" thickTop="1" thickBot="1" x14ac:dyDescent="0.3">
      <c r="B26" s="39" t="s">
        <v>199</v>
      </c>
      <c r="C26" s="124" t="s">
        <v>149</v>
      </c>
      <c r="D26" s="125"/>
      <c r="E26" s="125"/>
      <c r="F26" s="125"/>
      <c r="G26" s="125"/>
      <c r="H26" s="125"/>
      <c r="I26" s="125"/>
      <c r="J26" s="40"/>
      <c r="K26" s="41"/>
      <c r="N26" s="32"/>
      <c r="O26" s="32"/>
      <c r="P26" s="32"/>
      <c r="Q26" s="32"/>
      <c r="R26" s="32"/>
      <c r="S26" s="32"/>
      <c r="T26" s="32"/>
      <c r="U26" s="32"/>
      <c r="V26" s="32"/>
      <c r="W26" s="32"/>
      <c r="X26" s="32"/>
      <c r="Y26" s="32"/>
      <c r="Z26" s="32"/>
      <c r="AA26" s="32"/>
      <c r="AB26" s="32"/>
      <c r="AC26" s="32"/>
      <c r="AD26" s="32"/>
      <c r="AE26" s="32"/>
      <c r="AF26" s="32"/>
      <c r="AG26" s="32"/>
    </row>
    <row r="27" spans="2:33" ht="27" customHeight="1" thickBot="1" x14ac:dyDescent="0.3">
      <c r="B27" s="45" t="s">
        <v>255</v>
      </c>
      <c r="C27" s="124" t="s">
        <v>214</v>
      </c>
      <c r="D27" s="125"/>
      <c r="E27" s="125"/>
      <c r="F27" s="125"/>
      <c r="G27" s="125"/>
      <c r="H27" s="125"/>
      <c r="I27" s="125"/>
      <c r="J27" s="125"/>
      <c r="K27" s="126"/>
      <c r="N27" s="32"/>
      <c r="O27" s="32"/>
      <c r="P27" s="32"/>
      <c r="Q27" s="32"/>
      <c r="R27" s="32"/>
      <c r="S27" s="32"/>
      <c r="T27" s="32"/>
      <c r="U27" s="32"/>
      <c r="V27" s="32"/>
      <c r="W27" s="32"/>
      <c r="X27" s="32"/>
      <c r="Y27" s="32"/>
      <c r="Z27" s="32"/>
      <c r="AA27" s="32"/>
      <c r="AB27" s="32"/>
      <c r="AC27" s="32"/>
      <c r="AD27" s="32"/>
      <c r="AE27" s="32"/>
      <c r="AF27" s="32"/>
      <c r="AG27" s="32"/>
    </row>
    <row r="28" spans="2:33" ht="90.75" customHeight="1" thickBot="1" x14ac:dyDescent="0.3">
      <c r="B28" s="46" t="s">
        <v>256</v>
      </c>
      <c r="C28" s="124" t="s">
        <v>215</v>
      </c>
      <c r="D28" s="125"/>
      <c r="E28" s="125"/>
      <c r="F28" s="125"/>
      <c r="G28" s="125"/>
      <c r="H28" s="125"/>
      <c r="I28" s="125"/>
      <c r="J28" s="125"/>
      <c r="K28" s="126"/>
      <c r="N28" s="32"/>
      <c r="O28" s="32"/>
      <c r="P28" s="32"/>
      <c r="Q28" s="32"/>
      <c r="R28" s="32"/>
      <c r="S28" s="32"/>
      <c r="T28" s="32"/>
      <c r="U28" s="32"/>
      <c r="V28" s="32"/>
      <c r="W28" s="32"/>
      <c r="X28" s="32"/>
      <c r="Y28" s="32"/>
      <c r="Z28" s="32"/>
    </row>
    <row r="29" spans="2:33" ht="112.5" customHeight="1" thickBot="1" x14ac:dyDescent="0.3">
      <c r="B29" s="47" t="s">
        <v>257</v>
      </c>
      <c r="C29" s="124" t="s">
        <v>216</v>
      </c>
      <c r="D29" s="125"/>
      <c r="E29" s="125"/>
      <c r="F29" s="125"/>
      <c r="G29" s="125"/>
      <c r="H29" s="125"/>
      <c r="I29" s="125"/>
      <c r="J29" s="125"/>
      <c r="K29" s="126"/>
      <c r="L29" s="28"/>
      <c r="M29" s="28"/>
      <c r="N29" s="28"/>
      <c r="O29" s="28"/>
      <c r="P29" s="28"/>
      <c r="Q29" s="28"/>
    </row>
    <row r="30" spans="2:33" ht="18.75" customHeight="1" thickBot="1" x14ac:dyDescent="0.3">
      <c r="B30" s="48" t="s">
        <v>258</v>
      </c>
      <c r="C30" s="121" t="s">
        <v>217</v>
      </c>
      <c r="D30" s="122"/>
      <c r="E30" s="122"/>
      <c r="F30" s="122"/>
      <c r="G30" s="122"/>
      <c r="H30" s="122"/>
      <c r="I30" s="122"/>
      <c r="J30" s="122"/>
      <c r="K30" s="123"/>
      <c r="L30" s="28"/>
      <c r="M30" s="28"/>
      <c r="N30" s="28"/>
      <c r="O30" s="28"/>
      <c r="P30" s="28"/>
      <c r="Q30" s="28"/>
    </row>
    <row r="31" spans="2:33" ht="18.75" customHeight="1" x14ac:dyDescent="0.25">
      <c r="B31" s="35"/>
      <c r="C31" s="35"/>
      <c r="D31" s="35"/>
      <c r="E31" s="35"/>
      <c r="F31" s="35"/>
      <c r="G31" s="35"/>
      <c r="H31" s="35"/>
      <c r="I31" s="35"/>
    </row>
    <row r="32" spans="2:33" ht="15.75" thickBot="1" x14ac:dyDescent="0.3">
      <c r="B32" s="35"/>
      <c r="C32" s="35"/>
      <c r="D32" s="35"/>
      <c r="E32" s="35"/>
      <c r="F32" s="35"/>
      <c r="G32" s="35"/>
      <c r="H32" s="35"/>
      <c r="I32" s="35"/>
    </row>
    <row r="33" spans="2:28" ht="15.75" thickBot="1" x14ac:dyDescent="0.3">
      <c r="B33" s="132" t="s">
        <v>315</v>
      </c>
      <c r="C33" s="133"/>
      <c r="D33" s="133"/>
      <c r="E33" s="133"/>
      <c r="F33" s="133"/>
      <c r="G33" s="133"/>
      <c r="H33" s="133"/>
      <c r="I33" s="133"/>
      <c r="J33" s="133"/>
      <c r="K33" s="133"/>
      <c r="L33" s="134"/>
    </row>
    <row r="34" spans="2:28" ht="21" customHeight="1" thickBot="1" x14ac:dyDescent="0.3">
      <c r="B34" s="61" t="s">
        <v>252</v>
      </c>
      <c r="C34" s="144" t="s">
        <v>253</v>
      </c>
      <c r="D34" s="144"/>
      <c r="E34" s="144"/>
      <c r="F34" s="144"/>
      <c r="G34" s="144"/>
      <c r="H34" s="144"/>
      <c r="I34" s="144"/>
      <c r="J34" s="135" t="s">
        <v>254</v>
      </c>
      <c r="K34" s="135"/>
      <c r="L34" s="135"/>
    </row>
    <row r="35" spans="2:28" ht="26.25" customHeight="1" thickTop="1" thickBot="1" x14ac:dyDescent="0.3">
      <c r="B35" s="62" t="s">
        <v>209</v>
      </c>
      <c r="C35" s="149" t="s">
        <v>127</v>
      </c>
      <c r="D35" s="150"/>
      <c r="E35" s="150"/>
      <c r="F35" s="150"/>
      <c r="G35" s="150"/>
      <c r="H35" s="150"/>
      <c r="I35" s="150"/>
      <c r="J35" s="138" t="s">
        <v>144</v>
      </c>
      <c r="K35" s="138"/>
      <c r="L35" s="139"/>
    </row>
    <row r="36" spans="2:28" ht="24.75" customHeight="1" thickTop="1" thickBot="1" x14ac:dyDescent="0.3">
      <c r="B36" s="62" t="s">
        <v>210</v>
      </c>
      <c r="C36" s="151" t="s">
        <v>196</v>
      </c>
      <c r="D36" s="152"/>
      <c r="E36" s="152"/>
      <c r="F36" s="152"/>
      <c r="G36" s="152"/>
      <c r="H36" s="152"/>
      <c r="I36" s="152"/>
      <c r="J36" s="140" t="s">
        <v>148</v>
      </c>
      <c r="K36" s="140"/>
      <c r="L36" s="141"/>
    </row>
    <row r="37" spans="2:28" ht="26.25" customHeight="1" thickTop="1" thickBot="1" x14ac:dyDescent="0.3">
      <c r="B37" s="62" t="s">
        <v>211</v>
      </c>
      <c r="C37" s="151" t="s">
        <v>197</v>
      </c>
      <c r="D37" s="152"/>
      <c r="E37" s="152"/>
      <c r="F37" s="152"/>
      <c r="G37" s="152"/>
      <c r="H37" s="152"/>
      <c r="I37" s="152"/>
      <c r="J37" s="140" t="s">
        <v>145</v>
      </c>
      <c r="K37" s="140"/>
      <c r="L37" s="141"/>
    </row>
    <row r="38" spans="2:28" ht="21" customHeight="1" thickTop="1" thickBot="1" x14ac:dyDescent="0.3">
      <c r="B38" s="62" t="s">
        <v>212</v>
      </c>
      <c r="C38" s="151" t="s">
        <v>161</v>
      </c>
      <c r="D38" s="152"/>
      <c r="E38" s="152"/>
      <c r="F38" s="152"/>
      <c r="G38" s="152"/>
      <c r="H38" s="152"/>
      <c r="I38" s="152"/>
      <c r="J38" s="140" t="s">
        <v>146</v>
      </c>
      <c r="K38" s="140"/>
      <c r="L38" s="141"/>
    </row>
    <row r="39" spans="2:28" ht="16.5" thickTop="1" thickBot="1" x14ac:dyDescent="0.3">
      <c r="B39" s="62" t="s">
        <v>213</v>
      </c>
      <c r="C39" s="136" t="s">
        <v>162</v>
      </c>
      <c r="D39" s="137"/>
      <c r="E39" s="137"/>
      <c r="F39" s="137"/>
      <c r="G39" s="137"/>
      <c r="H39" s="137"/>
      <c r="I39" s="137"/>
      <c r="J39" s="142" t="s">
        <v>147</v>
      </c>
      <c r="K39" s="142"/>
      <c r="L39" s="143"/>
    </row>
    <row r="40" spans="2:28" ht="15.75" customHeight="1" thickTop="1" thickBot="1" x14ac:dyDescent="0.3">
      <c r="AA40" s="65"/>
    </row>
    <row r="41" spans="2:28" ht="45.75" customHeight="1" thickBot="1" x14ac:dyDescent="0.3">
      <c r="Q41" s="63" t="s">
        <v>316</v>
      </c>
      <c r="R41" s="64"/>
      <c r="S41" s="64"/>
      <c r="T41" s="64"/>
      <c r="U41" s="64"/>
      <c r="V41" s="64"/>
      <c r="W41" s="64"/>
      <c r="X41" s="64"/>
      <c r="Y41" s="64"/>
      <c r="Z41" s="64"/>
      <c r="AA41" s="68"/>
    </row>
    <row r="42" spans="2:28" ht="15" customHeight="1" thickTop="1" thickBot="1" x14ac:dyDescent="0.3">
      <c r="Q42" s="192" t="s">
        <v>259</v>
      </c>
      <c r="R42" s="66" t="s">
        <v>270</v>
      </c>
      <c r="S42" s="67"/>
      <c r="T42" s="67"/>
      <c r="U42" s="67"/>
      <c r="V42" s="67"/>
      <c r="W42" s="67"/>
      <c r="X42" s="67"/>
      <c r="Y42" s="67"/>
      <c r="Z42" s="67"/>
      <c r="AA42" s="111" t="s">
        <v>260</v>
      </c>
      <c r="AB42" s="30"/>
    </row>
    <row r="43" spans="2:28" ht="24.75" customHeight="1" thickBot="1" x14ac:dyDescent="0.3">
      <c r="Q43" s="193"/>
      <c r="R43" s="165" t="s">
        <v>269</v>
      </c>
      <c r="S43" s="161" t="s">
        <v>268</v>
      </c>
      <c r="T43" s="161" t="s">
        <v>267</v>
      </c>
      <c r="U43" s="161" t="s">
        <v>266</v>
      </c>
      <c r="V43" s="161" t="s">
        <v>265</v>
      </c>
      <c r="W43" s="161" t="s">
        <v>264</v>
      </c>
      <c r="X43" s="161" t="s">
        <v>263</v>
      </c>
      <c r="Y43" s="161" t="s">
        <v>262</v>
      </c>
      <c r="Z43" s="163" t="s">
        <v>261</v>
      </c>
      <c r="AA43" s="112"/>
      <c r="AB43" s="30"/>
    </row>
    <row r="44" spans="2:28" ht="23.25" customHeight="1" thickBot="1" x14ac:dyDescent="0.3">
      <c r="Q44" s="144"/>
      <c r="R44" s="166"/>
      <c r="S44" s="162"/>
      <c r="T44" s="162"/>
      <c r="U44" s="162"/>
      <c r="V44" s="162"/>
      <c r="W44" s="162"/>
      <c r="X44" s="162"/>
      <c r="Y44" s="162"/>
      <c r="Z44" s="164"/>
      <c r="AA44" s="50" t="s">
        <v>163</v>
      </c>
    </row>
    <row r="45" spans="2:28" ht="73.5" thickTop="1" thickBot="1" x14ac:dyDescent="0.3">
      <c r="Q45" s="58" t="s">
        <v>204</v>
      </c>
      <c r="R45" s="36" t="s">
        <v>123</v>
      </c>
      <c r="S45" s="36" t="s">
        <v>163</v>
      </c>
      <c r="T45" s="36" t="s">
        <v>164</v>
      </c>
      <c r="U45" s="36" t="s">
        <v>165</v>
      </c>
      <c r="V45" s="36" t="s">
        <v>163</v>
      </c>
      <c r="W45" s="36" t="s">
        <v>163</v>
      </c>
      <c r="X45" s="36" t="s">
        <v>163</v>
      </c>
      <c r="Y45" s="36" t="s">
        <v>163</v>
      </c>
      <c r="Z45" s="49" t="s">
        <v>163</v>
      </c>
      <c r="AA45" s="52" t="s">
        <v>231</v>
      </c>
    </row>
    <row r="46" spans="2:28" ht="72" customHeight="1" thickBot="1" x14ac:dyDescent="0.3">
      <c r="Q46" s="57" t="s">
        <v>205</v>
      </c>
      <c r="R46" s="37" t="s">
        <v>166</v>
      </c>
      <c r="S46" s="37" t="s">
        <v>167</v>
      </c>
      <c r="T46" s="37" t="s">
        <v>168</v>
      </c>
      <c r="U46" s="37"/>
      <c r="V46" s="37" t="s">
        <v>163</v>
      </c>
      <c r="W46" s="37" t="s">
        <v>163</v>
      </c>
      <c r="X46" s="37" t="s">
        <v>169</v>
      </c>
      <c r="Y46" s="37" t="s">
        <v>170</v>
      </c>
      <c r="Z46" s="51" t="s">
        <v>171</v>
      </c>
      <c r="AA46" s="113" t="s">
        <v>233</v>
      </c>
    </row>
    <row r="47" spans="2:28" ht="72.75" customHeight="1" thickBot="1" x14ac:dyDescent="0.3">
      <c r="Q47" s="154" t="s">
        <v>206</v>
      </c>
      <c r="R47" s="156" t="s">
        <v>172</v>
      </c>
      <c r="S47" s="130" t="s">
        <v>173</v>
      </c>
      <c r="T47" s="130" t="s">
        <v>174</v>
      </c>
      <c r="U47" s="130" t="s">
        <v>175</v>
      </c>
      <c r="V47" s="130" t="s">
        <v>176</v>
      </c>
      <c r="W47" s="130" t="s">
        <v>177</v>
      </c>
      <c r="X47" s="130" t="s">
        <v>178</v>
      </c>
      <c r="Y47" s="147" t="s">
        <v>237</v>
      </c>
      <c r="Z47" s="145" t="s">
        <v>179</v>
      </c>
      <c r="AA47" s="114"/>
    </row>
    <row r="48" spans="2:28" ht="36" customHeight="1" thickBot="1" x14ac:dyDescent="0.3">
      <c r="Q48" s="159"/>
      <c r="R48" s="160"/>
      <c r="S48" s="158"/>
      <c r="T48" s="158"/>
      <c r="U48" s="158"/>
      <c r="V48" s="158"/>
      <c r="W48" s="158"/>
      <c r="X48" s="158"/>
      <c r="Y48" s="148"/>
      <c r="Z48" s="146"/>
      <c r="AA48" s="113" t="s">
        <v>232</v>
      </c>
    </row>
    <row r="49" spans="17:27" ht="84" customHeight="1" thickBot="1" x14ac:dyDescent="0.3">
      <c r="Q49" s="154" t="s">
        <v>207</v>
      </c>
      <c r="R49" s="156" t="s">
        <v>180</v>
      </c>
      <c r="S49" s="130" t="s">
        <v>181</v>
      </c>
      <c r="T49" s="130" t="s">
        <v>182</v>
      </c>
      <c r="U49" s="130" t="s">
        <v>183</v>
      </c>
      <c r="V49" s="130" t="s">
        <v>184</v>
      </c>
      <c r="W49" s="130" t="s">
        <v>185</v>
      </c>
      <c r="X49" s="130" t="s">
        <v>186</v>
      </c>
      <c r="Y49" s="147" t="s">
        <v>238</v>
      </c>
      <c r="Z49" s="145" t="s">
        <v>187</v>
      </c>
      <c r="AA49" s="114"/>
    </row>
    <row r="50" spans="17:27" ht="15.75" thickBot="1" x14ac:dyDescent="0.3">
      <c r="Q50" s="159"/>
      <c r="R50" s="160"/>
      <c r="S50" s="158"/>
      <c r="T50" s="158"/>
      <c r="U50" s="158"/>
      <c r="V50" s="158"/>
      <c r="W50" s="158"/>
      <c r="X50" s="158"/>
      <c r="Y50" s="148"/>
      <c r="Z50" s="146"/>
      <c r="AA50" s="113" t="s">
        <v>234</v>
      </c>
    </row>
    <row r="51" spans="17:27" ht="100.5" customHeight="1" thickBot="1" x14ac:dyDescent="0.3">
      <c r="Q51" s="154" t="s">
        <v>208</v>
      </c>
      <c r="R51" s="156" t="s">
        <v>188</v>
      </c>
      <c r="S51" s="130" t="s">
        <v>189</v>
      </c>
      <c r="T51" s="130" t="s">
        <v>190</v>
      </c>
      <c r="U51" s="130" t="s">
        <v>191</v>
      </c>
      <c r="V51" s="130" t="s">
        <v>192</v>
      </c>
      <c r="W51" s="130" t="s">
        <v>193</v>
      </c>
      <c r="X51" s="130" t="s">
        <v>194</v>
      </c>
      <c r="Y51" s="147" t="s">
        <v>239</v>
      </c>
      <c r="Z51" s="145" t="s">
        <v>195</v>
      </c>
      <c r="AA51" s="114"/>
    </row>
    <row r="52" spans="17:27" ht="15.75" thickBot="1" x14ac:dyDescent="0.3">
      <c r="Q52" s="155"/>
      <c r="R52" s="157"/>
      <c r="S52" s="131"/>
      <c r="T52" s="131"/>
      <c r="U52" s="131"/>
      <c r="V52" s="131"/>
      <c r="W52" s="131"/>
      <c r="X52" s="131"/>
      <c r="Y52" s="194"/>
      <c r="Z52" s="153"/>
    </row>
    <row r="53" spans="17:27" ht="15.75" thickTop="1" x14ac:dyDescent="0.25"/>
    <row r="54" spans="17:27" ht="105.75" customHeight="1" x14ac:dyDescent="0.25"/>
    <row r="59" spans="17:27" ht="48" customHeight="1" x14ac:dyDescent="0.25"/>
    <row r="61" spans="17:27" ht="119.25" customHeight="1" x14ac:dyDescent="0.25"/>
  </sheetData>
  <mergeCells count="103">
    <mergeCell ref="Q42:Q44"/>
    <mergeCell ref="Y49:Y50"/>
    <mergeCell ref="Y51:Y52"/>
    <mergeCell ref="J17:K18"/>
    <mergeCell ref="L17:M18"/>
    <mergeCell ref="D7:M8"/>
    <mergeCell ref="B5:M6"/>
    <mergeCell ref="H19:I20"/>
    <mergeCell ref="J19:K20"/>
    <mergeCell ref="L19:M20"/>
    <mergeCell ref="D9:E10"/>
    <mergeCell ref="F9:G10"/>
    <mergeCell ref="H9:I10"/>
    <mergeCell ref="J9:K10"/>
    <mergeCell ref="L11:M12"/>
    <mergeCell ref="H13:I14"/>
    <mergeCell ref="J13:K14"/>
    <mergeCell ref="L13:M14"/>
    <mergeCell ref="F11:G12"/>
    <mergeCell ref="H11:I12"/>
    <mergeCell ref="L9:M10"/>
    <mergeCell ref="H15:I16"/>
    <mergeCell ref="J15:K16"/>
    <mergeCell ref="J11:K12"/>
    <mergeCell ref="F13:G14"/>
    <mergeCell ref="F15:G16"/>
    <mergeCell ref="L15:M16"/>
    <mergeCell ref="C25:I25"/>
    <mergeCell ref="C26:I26"/>
    <mergeCell ref="B11:C12"/>
    <mergeCell ref="B13:C14"/>
    <mergeCell ref="B15:C16"/>
    <mergeCell ref="B17:C18"/>
    <mergeCell ref="B19:C20"/>
    <mergeCell ref="D19:E20"/>
    <mergeCell ref="F19:G20"/>
    <mergeCell ref="D11:E12"/>
    <mergeCell ref="D13:E14"/>
    <mergeCell ref="D15:E16"/>
    <mergeCell ref="D17:E18"/>
    <mergeCell ref="F17:G18"/>
    <mergeCell ref="H17:I18"/>
    <mergeCell ref="B23:K23"/>
    <mergeCell ref="T43:T44"/>
    <mergeCell ref="V43:V44"/>
    <mergeCell ref="W43:W44"/>
    <mergeCell ref="X43:X44"/>
    <mergeCell ref="R43:R44"/>
    <mergeCell ref="R47:R48"/>
    <mergeCell ref="S47:S48"/>
    <mergeCell ref="T47:T48"/>
    <mergeCell ref="U47:U48"/>
    <mergeCell ref="V47:V48"/>
    <mergeCell ref="W47:W48"/>
    <mergeCell ref="X47:X48"/>
    <mergeCell ref="C35:I35"/>
    <mergeCell ref="C36:I36"/>
    <mergeCell ref="C37:I37"/>
    <mergeCell ref="C38:I38"/>
    <mergeCell ref="X51:X52"/>
    <mergeCell ref="Z51:Z52"/>
    <mergeCell ref="Q51:Q52"/>
    <mergeCell ref="R51:R52"/>
    <mergeCell ref="S51:S52"/>
    <mergeCell ref="T51:T52"/>
    <mergeCell ref="U49:U50"/>
    <mergeCell ref="V49:V50"/>
    <mergeCell ref="W49:W50"/>
    <mergeCell ref="X49:X50"/>
    <mergeCell ref="Z49:Z50"/>
    <mergeCell ref="Q49:Q50"/>
    <mergeCell ref="R49:R50"/>
    <mergeCell ref="S49:S50"/>
    <mergeCell ref="T49:T50"/>
    <mergeCell ref="Y43:Y44"/>
    <mergeCell ref="Z43:Z44"/>
    <mergeCell ref="Q47:Q48"/>
    <mergeCell ref="U43:U44"/>
    <mergeCell ref="S43:S44"/>
    <mergeCell ref="AA42:AA43"/>
    <mergeCell ref="AA46:AA47"/>
    <mergeCell ref="AA48:AA49"/>
    <mergeCell ref="AA50:AA51"/>
    <mergeCell ref="B7:C10"/>
    <mergeCell ref="C30:K30"/>
    <mergeCell ref="C29:K29"/>
    <mergeCell ref="C27:K27"/>
    <mergeCell ref="C28:K28"/>
    <mergeCell ref="C24:K24"/>
    <mergeCell ref="U51:U52"/>
    <mergeCell ref="V51:V52"/>
    <mergeCell ref="W51:W52"/>
    <mergeCell ref="B33:L33"/>
    <mergeCell ref="J34:L34"/>
    <mergeCell ref="C39:I39"/>
    <mergeCell ref="J35:L35"/>
    <mergeCell ref="J36:L36"/>
    <mergeCell ref="J37:L37"/>
    <mergeCell ref="J38:L38"/>
    <mergeCell ref="J39:L39"/>
    <mergeCell ref="C34:I34"/>
    <mergeCell ref="Z47:Z48"/>
    <mergeCell ref="Y47:Y48"/>
  </mergeCells>
  <pageMargins left="0.7" right="0.7" top="0.75" bottom="0.75" header="0.3" footer="0.3"/>
  <pageSetup orientation="portrait" horizont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T38"/>
  <sheetViews>
    <sheetView workbookViewId="0">
      <selection activeCell="H17" sqref="H17"/>
    </sheetView>
  </sheetViews>
  <sheetFormatPr defaultRowHeight="15" x14ac:dyDescent="0.25"/>
  <cols>
    <col min="1" max="1" width="31" customWidth="1"/>
    <col min="2" max="2" width="17.140625" customWidth="1"/>
  </cols>
  <sheetData>
    <row r="1" spans="1:20" x14ac:dyDescent="0.25">
      <c r="B1" t="s">
        <v>159</v>
      </c>
      <c r="I1" t="s">
        <v>155</v>
      </c>
      <c r="S1" t="s">
        <v>272</v>
      </c>
      <c r="T1" t="s">
        <v>240</v>
      </c>
    </row>
    <row r="2" spans="1:20" x14ac:dyDescent="0.25">
      <c r="A2" t="s">
        <v>247</v>
      </c>
      <c r="H2" s="32" t="s">
        <v>150</v>
      </c>
      <c r="S2" s="55" t="s">
        <v>245</v>
      </c>
    </row>
    <row r="3" spans="1:20" ht="12.75" customHeight="1" x14ac:dyDescent="0.25">
      <c r="A3" s="1" t="s">
        <v>248</v>
      </c>
      <c r="H3" s="32" t="s">
        <v>151</v>
      </c>
      <c r="S3" s="55" t="s">
        <v>244</v>
      </c>
    </row>
    <row r="4" spans="1:20" ht="15" customHeight="1" x14ac:dyDescent="0.25">
      <c r="A4" s="1" t="s">
        <v>246</v>
      </c>
      <c r="H4" s="32" t="s">
        <v>152</v>
      </c>
      <c r="S4" s="55" t="s">
        <v>243</v>
      </c>
    </row>
    <row r="5" spans="1:20" ht="15.75" customHeight="1" x14ac:dyDescent="0.25">
      <c r="A5" s="1" t="s">
        <v>249</v>
      </c>
      <c r="H5" s="32" t="s">
        <v>153</v>
      </c>
      <c r="S5" s="54" t="s">
        <v>242</v>
      </c>
    </row>
    <row r="6" spans="1:20" ht="15" customHeight="1" x14ac:dyDescent="0.25">
      <c r="A6" t="s">
        <v>250</v>
      </c>
      <c r="H6" s="32" t="s">
        <v>154</v>
      </c>
      <c r="S6" s="53" t="s">
        <v>241</v>
      </c>
    </row>
    <row r="7" spans="1:20" x14ac:dyDescent="0.25">
      <c r="A7" t="s">
        <v>272</v>
      </c>
      <c r="H7" t="s">
        <v>272</v>
      </c>
      <c r="S7" t="s">
        <v>272</v>
      </c>
    </row>
    <row r="8" spans="1:20" x14ac:dyDescent="0.25">
      <c r="C8" s="1" t="s">
        <v>13</v>
      </c>
      <c r="S8" s="55"/>
    </row>
    <row r="9" spans="1:20" x14ac:dyDescent="0.25">
      <c r="A9" s="1" t="s">
        <v>14</v>
      </c>
    </row>
    <row r="10" spans="1:20" x14ac:dyDescent="0.25">
      <c r="A10" s="1" t="s">
        <v>15</v>
      </c>
    </row>
    <row r="11" spans="1:20" x14ac:dyDescent="0.25">
      <c r="A11" s="1" t="s">
        <v>16</v>
      </c>
    </row>
    <row r="12" spans="1:20" x14ac:dyDescent="0.25">
      <c r="A12" s="1" t="s">
        <v>17</v>
      </c>
    </row>
    <row r="13" spans="1:20" x14ac:dyDescent="0.25">
      <c r="A13" s="1" t="s">
        <v>18</v>
      </c>
    </row>
    <row r="14" spans="1:20" x14ac:dyDescent="0.25">
      <c r="A14" s="1" t="s">
        <v>272</v>
      </c>
    </row>
    <row r="15" spans="1:20" ht="15.75" thickBot="1" x14ac:dyDescent="0.3">
      <c r="A15" s="1" t="s">
        <v>19</v>
      </c>
    </row>
    <row r="16" spans="1:20" ht="26.25" thickBot="1" x14ac:dyDescent="0.3">
      <c r="A16" s="2" t="s">
        <v>20</v>
      </c>
    </row>
    <row r="17" spans="1:17" ht="51.75" thickBot="1" x14ac:dyDescent="0.3">
      <c r="A17" s="3" t="s">
        <v>47</v>
      </c>
      <c r="G17" t="s">
        <v>320</v>
      </c>
      <c r="H17" t="s">
        <v>320</v>
      </c>
      <c r="I17" t="s">
        <v>320</v>
      </c>
      <c r="J17" t="s">
        <v>320</v>
      </c>
      <c r="K17" t="s">
        <v>320</v>
      </c>
    </row>
    <row r="18" spans="1:17" ht="105.75" customHeight="1" thickBot="1" x14ac:dyDescent="0.3">
      <c r="A18" s="3" t="s">
        <v>21</v>
      </c>
      <c r="G18" t="s">
        <v>320</v>
      </c>
      <c r="H18" t="s">
        <v>320</v>
      </c>
      <c r="I18" t="s">
        <v>320</v>
      </c>
      <c r="J18" t="s">
        <v>320</v>
      </c>
      <c r="K18" t="s">
        <v>320</v>
      </c>
      <c r="O18" s="28"/>
      <c r="P18" s="28"/>
      <c r="Q18" s="27"/>
    </row>
    <row r="19" spans="1:17" ht="26.25" thickBot="1" x14ac:dyDescent="0.3">
      <c r="A19" s="4" t="s">
        <v>22</v>
      </c>
      <c r="G19" t="s">
        <v>320</v>
      </c>
      <c r="H19" t="s">
        <v>320</v>
      </c>
      <c r="I19" t="s">
        <v>320</v>
      </c>
      <c r="J19" t="s">
        <v>320</v>
      </c>
      <c r="K19" t="s">
        <v>320</v>
      </c>
      <c r="O19" s="27"/>
      <c r="P19" s="27"/>
      <c r="Q19" s="27"/>
    </row>
    <row r="20" spans="1:17" x14ac:dyDescent="0.25">
      <c r="O20" s="27"/>
      <c r="P20" s="27"/>
      <c r="Q20" s="27"/>
    </row>
    <row r="21" spans="1:17" x14ac:dyDescent="0.25">
      <c r="O21" s="27"/>
      <c r="P21" s="27"/>
      <c r="Q21" s="27"/>
    </row>
    <row r="22" spans="1:17" x14ac:dyDescent="0.25">
      <c r="A22" t="s">
        <v>98</v>
      </c>
      <c r="G22" t="s">
        <v>318</v>
      </c>
    </row>
    <row r="23" spans="1:17" x14ac:dyDescent="0.25">
      <c r="A23" t="s">
        <v>99</v>
      </c>
      <c r="G23" t="s">
        <v>319</v>
      </c>
    </row>
    <row r="24" spans="1:17" x14ac:dyDescent="0.25">
      <c r="A24" t="s">
        <v>317</v>
      </c>
    </row>
    <row r="25" spans="1:17" x14ac:dyDescent="0.25">
      <c r="A25" t="s">
        <v>100</v>
      </c>
    </row>
    <row r="26" spans="1:17" x14ac:dyDescent="0.25">
      <c r="A26" t="s">
        <v>101</v>
      </c>
    </row>
    <row r="27" spans="1:17" x14ac:dyDescent="0.25">
      <c r="A27" t="s">
        <v>102</v>
      </c>
    </row>
    <row r="28" spans="1:17" x14ac:dyDescent="0.25">
      <c r="A28" t="s">
        <v>103</v>
      </c>
    </row>
    <row r="29" spans="1:17" x14ac:dyDescent="0.25">
      <c r="A29" t="s">
        <v>104</v>
      </c>
    </row>
    <row r="30" spans="1:17" x14ac:dyDescent="0.25">
      <c r="A30" t="s">
        <v>105</v>
      </c>
    </row>
    <row r="31" spans="1:17" x14ac:dyDescent="0.25">
      <c r="A31" t="s">
        <v>106</v>
      </c>
    </row>
    <row r="32" spans="1:17" x14ac:dyDescent="0.25">
      <c r="A32" t="s">
        <v>118</v>
      </c>
      <c r="B32" t="s">
        <v>120</v>
      </c>
    </row>
    <row r="33" spans="1:2" x14ac:dyDescent="0.25">
      <c r="A33" t="s">
        <v>272</v>
      </c>
    </row>
    <row r="34" spans="1:2" x14ac:dyDescent="0.25">
      <c r="A34" t="s">
        <v>119</v>
      </c>
      <c r="B34" t="s">
        <v>121</v>
      </c>
    </row>
    <row r="35" spans="1:2" x14ac:dyDescent="0.25">
      <c r="A35" t="s">
        <v>157</v>
      </c>
      <c r="B35" t="s">
        <v>122</v>
      </c>
    </row>
    <row r="36" spans="1:2" x14ac:dyDescent="0.25">
      <c r="A36" t="s">
        <v>156</v>
      </c>
      <c r="B36" t="s">
        <v>235</v>
      </c>
    </row>
    <row r="38" spans="1:2" x14ac:dyDescent="0.25">
      <c r="A38" t="s">
        <v>158</v>
      </c>
    </row>
  </sheetData>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Z93"/>
  <sheetViews>
    <sheetView workbookViewId="0">
      <selection activeCell="F15" sqref="F15"/>
    </sheetView>
  </sheetViews>
  <sheetFormatPr defaultRowHeight="15" x14ac:dyDescent="0.25"/>
  <cols>
    <col min="1" max="1" width="35.85546875" customWidth="1"/>
  </cols>
  <sheetData>
    <row r="1" spans="1:26" ht="157.5" x14ac:dyDescent="0.25">
      <c r="A1" s="75" t="s">
        <v>274</v>
      </c>
      <c r="B1" s="76" t="s">
        <v>156</v>
      </c>
      <c r="C1" s="76" t="str">
        <f>IF(B1="Quality",'Risk Information '!$B$34,IF(B1="Environment",'Risk Information '!$B$35,IF(B1="WHS",'Risk Information '!$B$36,)))</f>
        <v>Work Health and Safety Act (QLD) 2013</v>
      </c>
      <c r="D1" s="77"/>
      <c r="E1" s="77"/>
      <c r="F1" s="78" t="str">
        <f t="shared" ref="F1:F47" si="0">IF(OR(ISBLANK(D1), ISBLANK(E1)),"",LEFT(D1,1)*LEFT(E1,1))</f>
        <v/>
      </c>
      <c r="G1" s="79" t="str">
        <f>IF(F1&gt;15,'Risk Information '!$A$16,IF('Risk Register'!F1&gt;9,'Risk Information '!$A$17,IF('Risk Register'!F1&gt;4,'Risk Information '!$A$18,IF(OR(F1=0, F1=""), "N/A",'Risk Information '!$A$19))))</f>
        <v>Work is unable to proceed until the risk can be reduced.</v>
      </c>
      <c r="H1" s="34"/>
      <c r="I1" s="8"/>
      <c r="J1" s="8"/>
      <c r="K1" s="9" t="str">
        <f t="shared" ref="K1:K47" si="1">IF(OR(ISBLANK(I1), ISBLANK(J1)),"",LEFT(I1,1)*LEFT(J1,1))</f>
        <v/>
      </c>
      <c r="L1" s="79" t="str">
        <f>IF(K2&gt;15,'Risk Matrix'!$C$30,IF('Risk Register'!K2&gt;9,'Risk Matrix'!$C$29,IF('Risk Register'!K2&gt;4,'Risk Matrix'!$C$28,IF(OR(K2=0, K2=""), "N/A",'Risk Matrix'!$C$27))))</f>
        <v>Managed by routine procedures.  Records should be audited annually.  Work may proceed without specific management oversight.</v>
      </c>
      <c r="M1" s="78"/>
      <c r="N1" s="80"/>
      <c r="O1" s="12"/>
      <c r="P1" s="12"/>
      <c r="Q1" s="7"/>
      <c r="R1" s="13"/>
      <c r="S1" s="20"/>
      <c r="T1" s="21"/>
      <c r="U1" s="19"/>
      <c r="V1" s="7"/>
      <c r="W1" s="7"/>
      <c r="X1" s="7"/>
      <c r="Y1" s="7"/>
      <c r="Z1" s="7"/>
    </row>
    <row r="2" spans="1:26" ht="202.5" x14ac:dyDescent="0.25">
      <c r="A2" s="29" t="s">
        <v>94</v>
      </c>
      <c r="B2" s="29" t="s">
        <v>156</v>
      </c>
      <c r="C2" s="29" t="str">
        <f>IF(B2="Quality",'Risk Information '!$B$34,IF(B2="Environment",'Risk Information '!$B$35,IF(B2="WHS",'Risk Information '!$B$36,)))</f>
        <v>Work Health and Safety Act (QLD) 2013</v>
      </c>
      <c r="D2" s="19" t="s">
        <v>8</v>
      </c>
      <c r="E2" s="19" t="s">
        <v>14</v>
      </c>
      <c r="F2" s="13">
        <f t="shared" si="0"/>
        <v>10</v>
      </c>
      <c r="G2" s="59" t="str">
        <f>IF(F2&gt;15,'Risk Information '!$A$16,IF('Risk Register'!F2&gt;9,'Risk Information '!$A$17,IF('Risk Register'!F2&gt;4,'Risk Information '!$A$18,IF(OR(F2=0, F2=""), "N/A",'Risk Information '!$A$19))))</f>
        <v>No permission is needed. Work is able to proceed.</v>
      </c>
      <c r="H2" s="11" t="s">
        <v>95</v>
      </c>
      <c r="I2" s="8" t="s">
        <v>125</v>
      </c>
      <c r="J2" s="8" t="s">
        <v>124</v>
      </c>
      <c r="K2" s="9">
        <f t="shared" si="1"/>
        <v>10</v>
      </c>
      <c r="L2" s="59" t="str">
        <f>IF(K2&gt;15,'Risk Matrix'!$C$30,IF('Risk Register'!K2&gt;9,'Risk Matrix'!$C$29,IF('Risk Register'!K2&gt;4,'Risk Matrix'!$C$28,IF(OR(K2=0, K2=""), "N/A",'Risk Matrix'!$C$27))))</f>
        <v>Managed by routine procedures.  Records should be audited annually.  Work may proceed without specific management oversight.</v>
      </c>
      <c r="M2" s="13" t="str">
        <f t="shared" ref="M2:M47" si="2">IF(F2="","",IF(F2&gt;3,"Yes","No"))</f>
        <v>Yes</v>
      </c>
      <c r="N2" s="12"/>
      <c r="O2" s="12"/>
      <c r="P2" s="12"/>
      <c r="Q2" s="7"/>
      <c r="R2" s="13"/>
      <c r="S2" s="20"/>
      <c r="T2" s="21"/>
      <c r="U2" s="19"/>
      <c r="V2" s="7"/>
      <c r="W2" s="7"/>
      <c r="X2" s="7"/>
      <c r="Y2" s="7"/>
      <c r="Z2" s="7"/>
    </row>
    <row r="3" spans="1:26" ht="180" x14ac:dyDescent="0.25">
      <c r="A3" s="29" t="s">
        <v>94</v>
      </c>
      <c r="B3" s="29" t="s">
        <v>156</v>
      </c>
      <c r="C3" s="29" t="str">
        <f>IF(B3="Quality",'Risk Information '!$B$34,IF(B3="Environment",'Risk Information '!$B$35,IF(B3="WHS",'Risk Information '!$B$36,)))</f>
        <v>Work Health and Safety Act (QLD) 2013</v>
      </c>
      <c r="D3" s="19" t="s">
        <v>7</v>
      </c>
      <c r="E3" s="19" t="s">
        <v>15</v>
      </c>
      <c r="F3" s="13">
        <f t="shared" si="0"/>
        <v>12</v>
      </c>
      <c r="G3" s="59" t="str">
        <f>IF(F3&gt;15,'Risk Information '!$A$16,IF('Risk Register'!F3&gt;9,'Risk Information '!$A$17,IF('Risk Register'!F3&gt;4,'Risk Information '!$A$18,IF(OR(F3=0, F3=""), "N/A",'Risk Information '!$A$19))))</f>
        <v>No permission is needed. Work is able to proceed.</v>
      </c>
      <c r="H3" s="11" t="s">
        <v>95</v>
      </c>
      <c r="I3" s="8" t="s">
        <v>9</v>
      </c>
      <c r="J3" s="8" t="s">
        <v>15</v>
      </c>
      <c r="K3" s="9">
        <f t="shared" si="1"/>
        <v>4</v>
      </c>
      <c r="L3" s="59" t="str">
        <f>IF(K3&gt;15,'Risk Matrix'!$C$30,IF('Risk Register'!K3&gt;9,'Risk Matrix'!$C$29,IF('Risk Register'!K3&gt;4,'Risk Matrix'!$C$28,IF(OR(K3=0, K3=""), "N/A",'Risk Matrix'!$C$27))))</f>
        <v>Managed by routine procedures.  Records should be audited annually.  Work may proceed without specific management oversight.</v>
      </c>
      <c r="M3" s="13" t="str">
        <f t="shared" si="2"/>
        <v>Yes</v>
      </c>
      <c r="N3" s="12"/>
      <c r="O3" s="12"/>
      <c r="P3" s="12"/>
      <c r="Q3" s="7"/>
      <c r="R3" s="13"/>
      <c r="S3" s="20"/>
      <c r="T3" s="21"/>
      <c r="U3" s="19"/>
      <c r="V3" s="7"/>
      <c r="W3" s="7"/>
      <c r="X3" s="7"/>
      <c r="Y3" s="7"/>
      <c r="Z3" s="7"/>
    </row>
    <row r="4" spans="1:26" ht="191.25" x14ac:dyDescent="0.25">
      <c r="A4" s="29" t="s">
        <v>92</v>
      </c>
      <c r="B4" s="29" t="s">
        <v>156</v>
      </c>
      <c r="C4" s="29" t="str">
        <f>IF(B4="Quality",'Risk Information '!$B$34,IF(B4="Environment",'Risk Information '!$B$35,IF(B4="WHS",'Risk Information '!$B$36,)))</f>
        <v>Work Health and Safety Act (QLD) 2013</v>
      </c>
      <c r="D4" s="19" t="s">
        <v>6</v>
      </c>
      <c r="E4" s="19" t="s">
        <v>17</v>
      </c>
      <c r="F4" s="13">
        <f t="shared" si="0"/>
        <v>8</v>
      </c>
      <c r="G4" s="59" t="str">
        <f>IF(F4&gt;15,'Risk Information '!$A$16,IF('Risk Register'!F4&gt;9,'Risk Information '!$A$17,IF('Risk Register'!F4&gt;4,'Risk Information '!$A$18,IF(OR(F4=0, F4=""), "N/A",'Risk Information '!$A$19))))</f>
        <v>No permission is needed. Work is able to proceed.</v>
      </c>
      <c r="H4" s="11" t="s">
        <v>93</v>
      </c>
      <c r="I4" s="8" t="s">
        <v>9</v>
      </c>
      <c r="J4" s="8" t="s">
        <v>17</v>
      </c>
      <c r="K4" s="9">
        <f t="shared" si="1"/>
        <v>2</v>
      </c>
      <c r="L4" s="59" t="str">
        <f>IF(K4&gt;15,'Risk Matrix'!$C$30,IF('Risk Register'!K4&gt;9,'Risk Matrix'!$C$29,IF('Risk Register'!K4&gt;4,'Risk Matrix'!$C$28,IF(OR(K4=0, K4=""), "N/A",'Risk Matrix'!$C$27))))</f>
        <v>Managed by routine procedures.  Records should be audited annually.  Work may proceed without specific management oversight.</v>
      </c>
      <c r="M4" s="13" t="str">
        <f t="shared" si="2"/>
        <v>Yes</v>
      </c>
      <c r="N4" s="12"/>
      <c r="O4" s="12"/>
      <c r="P4" s="12"/>
      <c r="Q4" s="7"/>
      <c r="R4" s="13"/>
      <c r="S4" s="20"/>
      <c r="T4" s="19"/>
      <c r="U4" s="19"/>
      <c r="V4" s="7"/>
      <c r="W4" s="7"/>
      <c r="X4" s="7"/>
      <c r="Y4" s="7"/>
      <c r="Z4" s="7"/>
    </row>
    <row r="5" spans="1:26" ht="180" x14ac:dyDescent="0.25">
      <c r="A5" s="29" t="s">
        <v>91</v>
      </c>
      <c r="B5" s="29" t="s">
        <v>156</v>
      </c>
      <c r="C5" s="29" t="str">
        <f>IF(B5="Quality",'Risk Information '!$B$34,IF(B5="Environment",'Risk Information '!$B$35,IF(B5="WHS",'Risk Information '!$B$36,)))</f>
        <v>Work Health and Safety Act (QLD) 2013</v>
      </c>
      <c r="D5" s="19" t="s">
        <v>7</v>
      </c>
      <c r="E5" s="19" t="s">
        <v>15</v>
      </c>
      <c r="F5" s="13">
        <f t="shared" si="0"/>
        <v>12</v>
      </c>
      <c r="G5" s="59" t="str">
        <f>IF(F5&gt;15,'Risk Information '!$A$16,IF('Risk Register'!F5&gt;9,'Risk Information '!$A$17,IF('Risk Register'!F5&gt;4,'Risk Information '!$A$18,IF(OR(F5=0, F5=""), "N/A",'Risk Information '!$A$19))))</f>
        <v>No permission is needed. Work is able to proceed.</v>
      </c>
      <c r="H5" s="11" t="s">
        <v>89</v>
      </c>
      <c r="I5" s="8" t="s">
        <v>9</v>
      </c>
      <c r="J5" s="8" t="s">
        <v>15</v>
      </c>
      <c r="K5" s="9">
        <f t="shared" si="1"/>
        <v>4</v>
      </c>
      <c r="L5" s="59" t="str">
        <f>IF(K5&gt;15,'Risk Matrix'!$C$30,IF('Risk Register'!K5&gt;9,'Risk Matrix'!$C$29,IF('Risk Register'!K5&gt;4,'Risk Matrix'!$C$28,IF(OR(K5=0, K5=""), "N/A",'Risk Matrix'!$C$27))))</f>
        <v>Managed by routine procedures.  Records should be audited annually.  Work may proceed without specific management oversight.</v>
      </c>
      <c r="M5" s="13" t="str">
        <f t="shared" si="2"/>
        <v>Yes</v>
      </c>
      <c r="N5" s="12"/>
      <c r="O5" s="12"/>
      <c r="P5" s="12"/>
      <c r="Q5" s="7"/>
      <c r="R5" s="13"/>
      <c r="S5" s="12"/>
      <c r="T5" s="12"/>
      <c r="U5" s="12"/>
      <c r="V5" s="7"/>
      <c r="W5" s="7"/>
      <c r="X5" s="7"/>
      <c r="Y5" s="7"/>
      <c r="Z5" s="7"/>
    </row>
    <row r="6" spans="1:26" ht="409.5" x14ac:dyDescent="0.25">
      <c r="A6" s="29" t="s">
        <v>88</v>
      </c>
      <c r="B6" s="29" t="s">
        <v>156</v>
      </c>
      <c r="C6" s="29" t="str">
        <f>IF(B6="Quality",'Risk Information '!$B$34,IF(B6="Environment",'Risk Information '!$B$35,IF(B6="WHS",'Risk Information '!$B$36,)))</f>
        <v>Work Health and Safety Act (QLD) 2013</v>
      </c>
      <c r="D6" s="19" t="s">
        <v>7</v>
      </c>
      <c r="E6" s="19" t="s">
        <v>14</v>
      </c>
      <c r="F6" s="13">
        <f t="shared" si="0"/>
        <v>15</v>
      </c>
      <c r="G6" s="59" t="str">
        <f>IF(F6&gt;15,'Risk Information '!$A$16,IF('Risk Register'!F6&gt;9,'Risk Information '!$A$17,IF('Risk Register'!F6&gt;4,'Risk Information '!$A$18,IF(OR(F6=0, F6=""), "N/A",'Risk Information '!$A$19))))</f>
        <v>Permission from high level management is permitted before work can proceed or further reduce risk.</v>
      </c>
      <c r="H6" s="10" t="s">
        <v>87</v>
      </c>
      <c r="I6" s="8" t="s">
        <v>9</v>
      </c>
      <c r="J6" s="8" t="s">
        <v>14</v>
      </c>
      <c r="K6" s="9">
        <f t="shared" si="1"/>
        <v>5</v>
      </c>
      <c r="L6" s="59" t="str">
        <f>IF(K6&gt;15,'Risk Matrix'!$C$30,IF('Risk Register'!K6&gt;9,'Risk Matrix'!$C$29,IF('Risk Register'!K6&gt;4,'Risk Matrix'!$C$28,IF(OR(K6=0, K6=""), "N/A",'Risk Matrix'!$C$27))))</f>
        <v xml:space="preserve">Management attention is needed. Control/preventive measures must be documented, monitored, measured and reviewed periodically for adequacy and compliance. Director must be directly involved and approve in writing for works to proceed.  Responsibility for monitoring and verification activities must be clearly defined and documented.  Corrective action (to be taken when unacceptable variations occur) must be documented.  Records must be maintained to demonstrate that the above requirements are being undertaken, and audited at least monthly. </v>
      </c>
      <c r="M6" s="13" t="str">
        <f t="shared" si="2"/>
        <v>Yes</v>
      </c>
      <c r="N6" s="12"/>
      <c r="O6" s="12"/>
      <c r="P6" s="12"/>
      <c r="Q6" s="7"/>
      <c r="R6" s="13"/>
      <c r="S6" s="12"/>
      <c r="T6" s="12"/>
      <c r="U6" s="12"/>
      <c r="V6" s="7"/>
      <c r="W6" s="7"/>
      <c r="X6" s="7"/>
      <c r="Y6" s="7"/>
      <c r="Z6" s="7"/>
    </row>
    <row r="7" spans="1:26" ht="157.5" x14ac:dyDescent="0.25">
      <c r="A7" s="29" t="s">
        <v>84</v>
      </c>
      <c r="B7" s="29" t="s">
        <v>156</v>
      </c>
      <c r="C7" s="29" t="str">
        <f>IF(B7="Quality",'Risk Information '!$B$34,IF(B7="Environment",'Risk Information '!$B$35,IF(B7="WHS",'Risk Information '!$B$36,)))</f>
        <v>Work Health and Safety Act (QLD) 2013</v>
      </c>
      <c r="D7" s="19" t="s">
        <v>7</v>
      </c>
      <c r="E7" s="19" t="s">
        <v>16</v>
      </c>
      <c r="F7" s="13">
        <f t="shared" si="0"/>
        <v>9</v>
      </c>
      <c r="G7" s="59" t="str">
        <f>IF(F7&gt;15,'Risk Information '!$A$16,IF('Risk Register'!F7&gt;9,'Risk Information '!$A$17,IF('Risk Register'!F7&gt;4,'Risk Information '!$A$18,IF(OR(F7=0, F7=""), "N/A",'Risk Information '!$A$19))))</f>
        <v>Permission from worker in charge is permitted before work can proceed.</v>
      </c>
      <c r="H7" s="11" t="s">
        <v>85</v>
      </c>
      <c r="I7" s="8" t="s">
        <v>9</v>
      </c>
      <c r="J7" s="8" t="s">
        <v>16</v>
      </c>
      <c r="K7" s="9">
        <f t="shared" si="1"/>
        <v>3</v>
      </c>
      <c r="L7" s="59" t="str">
        <f>IF(K7&gt;15,'Risk Matrix'!$C$30,IF('Risk Register'!K7&gt;9,'Risk Matrix'!$C$29,IF('Risk Register'!K7&gt;4,'Risk Matrix'!$C$28,IF(OR(K7=0, K7=""), "N/A",'Risk Matrix'!$C$27))))</f>
        <v>Managed by routine procedures.  Records should be audited annually.  Work may proceed without specific management oversight.</v>
      </c>
      <c r="M7" s="13" t="str">
        <f t="shared" si="2"/>
        <v>Yes</v>
      </c>
      <c r="N7" s="12"/>
      <c r="O7" s="12"/>
      <c r="P7" s="12"/>
      <c r="Q7" s="7"/>
      <c r="R7" s="13"/>
      <c r="S7" s="12"/>
      <c r="T7" s="12"/>
      <c r="U7" s="12"/>
      <c r="V7" s="7"/>
      <c r="W7" s="7"/>
      <c r="X7" s="7"/>
      <c r="Y7" s="7"/>
      <c r="Z7" s="7"/>
    </row>
    <row r="8" spans="1:26" ht="225" x14ac:dyDescent="0.25">
      <c r="A8" s="29" t="s">
        <v>82</v>
      </c>
      <c r="B8" s="29" t="s">
        <v>156</v>
      </c>
      <c r="C8" s="29" t="str">
        <f>IF(B8="Quality",'Risk Information '!$B$34,IF(B8="Environment",'Risk Information '!$B$35,IF(B8="WHS",'Risk Information '!$B$36,)))</f>
        <v>Work Health and Safety Act (QLD) 2013</v>
      </c>
      <c r="D8" s="19" t="s">
        <v>7</v>
      </c>
      <c r="E8" s="19" t="s">
        <v>16</v>
      </c>
      <c r="F8" s="13">
        <f t="shared" si="0"/>
        <v>9</v>
      </c>
      <c r="G8" s="59" t="str">
        <f>IF(F8&gt;15,'Risk Information '!$A$16,IF('Risk Register'!F8&gt;9,'Risk Information '!$A$17,IF('Risk Register'!F8&gt;4,'Risk Information '!$A$18,IF(OR(F8=0, F8=""), "N/A",'Risk Information '!$A$19))))</f>
        <v>Permission from high level management is permitted before work can proceed or further reduce risk.</v>
      </c>
      <c r="H8" s="11" t="s">
        <v>83</v>
      </c>
      <c r="I8" s="8" t="s">
        <v>9</v>
      </c>
      <c r="J8" s="8" t="s">
        <v>17</v>
      </c>
      <c r="K8" s="9">
        <f t="shared" si="1"/>
        <v>2</v>
      </c>
      <c r="L8" s="59" t="str">
        <f>IF(K8&gt;15,'Risk Matrix'!$C$30,IF('Risk Register'!K8&gt;9,'Risk Matrix'!$C$29,IF('Risk Register'!K8&gt;4,'Risk Matrix'!$C$28,IF(OR(K8=0, K8=""), "N/A",'Risk Matrix'!$C$27))))</f>
        <v>Management responsibility must be specified.  Policy and procedures must be documented.  Works cannot proceed without management oversight.  Records should be audited annually.</v>
      </c>
      <c r="M8" s="13" t="str">
        <f t="shared" si="2"/>
        <v>Yes</v>
      </c>
      <c r="N8" s="12"/>
      <c r="O8" s="12"/>
      <c r="P8" s="12"/>
      <c r="Q8" s="7"/>
      <c r="R8" s="13"/>
      <c r="S8" s="12"/>
      <c r="T8" s="12"/>
      <c r="U8" s="12"/>
      <c r="V8" s="7"/>
      <c r="W8" s="7"/>
      <c r="X8" s="7"/>
      <c r="Y8" s="7"/>
      <c r="Z8" s="7"/>
    </row>
    <row r="9" spans="1:26" ht="273.75" x14ac:dyDescent="0.25">
      <c r="A9" s="29" t="s">
        <v>81</v>
      </c>
      <c r="B9" s="29" t="s">
        <v>156</v>
      </c>
      <c r="C9" s="29" t="str">
        <f>IF(B9="Quality",'Risk Information '!$B$34,IF(B9="Environment",'Risk Information '!$B$35,IF(B9="WHS",'Risk Information '!$B$36,)))</f>
        <v>Work Health and Safety Act (QLD) 2013</v>
      </c>
      <c r="D9" s="19" t="s">
        <v>7</v>
      </c>
      <c r="E9" s="19" t="s">
        <v>15</v>
      </c>
      <c r="F9" s="13">
        <f t="shared" si="0"/>
        <v>12</v>
      </c>
      <c r="G9" s="59" t="str">
        <f>IF(F9&gt;15,'Risk Information '!$A$16,IF('Risk Register'!F9&gt;9,'Risk Information '!$A$17,IF('Risk Register'!F9&gt;4,'Risk Information '!$A$18,IF(OR(F9=0, F9=""), "N/A",'Risk Information '!$A$19))))</f>
        <v>Permission from worker in charge is permitted before work can proceed.</v>
      </c>
      <c r="H9" s="11" t="s">
        <v>90</v>
      </c>
      <c r="I9" s="8" t="s">
        <v>9</v>
      </c>
      <c r="J9" s="8" t="s">
        <v>15</v>
      </c>
      <c r="K9" s="9">
        <f t="shared" si="1"/>
        <v>4</v>
      </c>
      <c r="L9" s="59" t="str">
        <f>IF(K9&gt;15,'Risk Matrix'!$C$30,IF('Risk Register'!K9&gt;9,'Risk Matrix'!$C$29,IF('Risk Register'!K9&gt;4,'Risk Matrix'!$C$28,IF(OR(K9=0, K9=""), "N/A",'Risk Matrix'!$C$27))))</f>
        <v>Managed by routine procedures.  Records should be audited annually.  Work may proceed without specific management oversight.</v>
      </c>
      <c r="M9" s="13" t="str">
        <f t="shared" si="2"/>
        <v>Yes</v>
      </c>
      <c r="N9" s="12"/>
      <c r="O9" s="12"/>
      <c r="P9" s="12"/>
      <c r="Q9" s="7"/>
      <c r="R9" s="13"/>
      <c r="S9" s="12"/>
      <c r="T9" s="12"/>
      <c r="U9" s="12"/>
      <c r="V9" s="7"/>
      <c r="W9" s="7"/>
      <c r="X9" s="7"/>
      <c r="Y9" s="7"/>
      <c r="Z9" s="7"/>
    </row>
    <row r="10" spans="1:26" ht="225" x14ac:dyDescent="0.25">
      <c r="A10" s="29" t="s">
        <v>79</v>
      </c>
      <c r="B10" s="29" t="s">
        <v>156</v>
      </c>
      <c r="C10" s="29" t="str">
        <f>IF(B10="Quality",'Risk Information '!$B$34,IF(B10="Environment",'Risk Information '!$B$35,IF(B10="WHS",'Risk Information '!$B$36,)))</f>
        <v>Work Health and Safety Act (QLD) 2013</v>
      </c>
      <c r="D10" s="19" t="s">
        <v>7</v>
      </c>
      <c r="E10" s="19" t="s">
        <v>15</v>
      </c>
      <c r="F10" s="13">
        <f t="shared" si="0"/>
        <v>12</v>
      </c>
      <c r="G10" s="59" t="str">
        <f>IF(F10&gt;15,'Risk Information '!$A$16,IF('Risk Register'!F10&gt;9,'Risk Information '!$A$17,IF('Risk Register'!F10&gt;4,'Risk Information '!$A$18,IF(OR(F10=0, F10=""), "N/A",'Risk Information '!$A$19))))</f>
        <v>Permission from high level management is permitted before work can proceed or further reduce risk.</v>
      </c>
      <c r="H10" s="11" t="s">
        <v>80</v>
      </c>
      <c r="I10" s="8" t="s">
        <v>8</v>
      </c>
      <c r="J10" s="8" t="s">
        <v>15</v>
      </c>
      <c r="K10" s="9">
        <f t="shared" si="1"/>
        <v>8</v>
      </c>
      <c r="L10" s="59" t="str">
        <f>IF(K10&gt;15,'Risk Matrix'!$C$30,IF('Risk Register'!K10&gt;9,'Risk Matrix'!$C$29,IF('Risk Register'!K10&gt;4,'Risk Matrix'!$C$28,IF(OR(K10=0, K10=""), "N/A",'Risk Matrix'!$C$27))))</f>
        <v>Management responsibility must be specified.  Policy and procedures must be documented.  Works cannot proceed without management oversight.  Records should be audited annually.</v>
      </c>
      <c r="M10" s="13" t="str">
        <f t="shared" si="2"/>
        <v>Yes</v>
      </c>
      <c r="N10" s="12"/>
      <c r="O10" s="12"/>
      <c r="P10" s="12"/>
      <c r="Q10" s="7"/>
      <c r="R10" s="13"/>
      <c r="S10" s="20"/>
      <c r="T10" s="12"/>
      <c r="U10" s="12"/>
      <c r="V10" s="7"/>
      <c r="W10" s="7"/>
      <c r="X10" s="7"/>
      <c r="Y10" s="7"/>
      <c r="Z10" s="7"/>
    </row>
    <row r="11" spans="1:26" ht="202.5" x14ac:dyDescent="0.25">
      <c r="A11" s="29" t="s">
        <v>77</v>
      </c>
      <c r="B11" s="29" t="s">
        <v>156</v>
      </c>
      <c r="C11" s="29" t="str">
        <f>IF(B11="Quality",'Risk Information '!$B$34,IF(B11="Environment",'Risk Information '!$B$35,IF(B11="WHS",'Risk Information '!$B$36,)))</f>
        <v>Work Health and Safety Act (QLD) 2013</v>
      </c>
      <c r="D11" s="19" t="s">
        <v>7</v>
      </c>
      <c r="E11" s="19" t="s">
        <v>14</v>
      </c>
      <c r="F11" s="13">
        <f t="shared" si="0"/>
        <v>15</v>
      </c>
      <c r="G11" s="59" t="str">
        <f>IF(F11&gt;15,'Risk Information '!$A$16,IF('Risk Register'!F11&gt;9,'Risk Information '!$A$17,IF('Risk Register'!F11&gt;4,'Risk Information '!$A$18,IF(OR(F11=0, F11=""), "N/A",'Risk Information '!$A$19))))</f>
        <v>Permission from high level management is permitted before work can proceed or further reduce risk.</v>
      </c>
      <c r="H11" s="10" t="s">
        <v>78</v>
      </c>
      <c r="I11" s="8" t="s">
        <v>9</v>
      </c>
      <c r="J11" s="8" t="s">
        <v>15</v>
      </c>
      <c r="K11" s="9">
        <f t="shared" si="1"/>
        <v>4</v>
      </c>
      <c r="L11" s="59" t="str">
        <f>IF(K11&gt;15,'Risk Matrix'!$C$30,IF('Risk Register'!K11&gt;9,'Risk Matrix'!$C$29,IF('Risk Register'!K11&gt;4,'Risk Matrix'!$C$28,IF(OR(K11=0, K11=""), "N/A",'Risk Matrix'!$C$27))))</f>
        <v>Managed by routine procedures.  Records should be audited annually.  Work may proceed without specific management oversight.</v>
      </c>
      <c r="M11" s="13" t="str">
        <f t="shared" si="2"/>
        <v>Yes</v>
      </c>
      <c r="N11" s="20"/>
      <c r="O11" s="12"/>
      <c r="P11" s="12"/>
      <c r="Q11" s="7"/>
      <c r="R11" s="13"/>
      <c r="S11" s="20"/>
      <c r="T11" s="12"/>
      <c r="U11" s="12"/>
      <c r="V11" s="7"/>
      <c r="W11" s="7"/>
      <c r="X11" s="7"/>
      <c r="Y11" s="7"/>
      <c r="Z11" s="7"/>
    </row>
    <row r="12" spans="1:26" ht="225" x14ac:dyDescent="0.25">
      <c r="A12" s="29" t="s">
        <v>75</v>
      </c>
      <c r="B12" s="29" t="s">
        <v>156</v>
      </c>
      <c r="C12" s="29" t="str">
        <f>IF(B12="Quality",'Risk Information '!$B$34,IF(B12="Environment",'Risk Information '!$B$35,IF(B12="WHS",'Risk Information '!$B$36,)))</f>
        <v>Work Health and Safety Act (QLD) 2013</v>
      </c>
      <c r="D12" s="19" t="s">
        <v>7</v>
      </c>
      <c r="E12" s="19" t="s">
        <v>14</v>
      </c>
      <c r="F12" s="13">
        <f t="shared" si="0"/>
        <v>15</v>
      </c>
      <c r="G12" s="59" t="str">
        <f>IF(F12&gt;15,'Risk Information '!$A$16,IF('Risk Register'!F12&gt;9,'Risk Information '!$A$17,IF('Risk Register'!F12&gt;4,'Risk Information '!$A$18,IF(OR(F12=0, F12=""), "N/A",'Risk Information '!$A$19))))</f>
        <v>Permission from high level management is permitted before work can proceed or further reduce risk.</v>
      </c>
      <c r="H12" s="10" t="s">
        <v>76</v>
      </c>
      <c r="I12" s="8" t="s">
        <v>9</v>
      </c>
      <c r="J12" s="8" t="s">
        <v>14</v>
      </c>
      <c r="K12" s="9">
        <f t="shared" si="1"/>
        <v>5</v>
      </c>
      <c r="L12" s="59" t="str">
        <f>IF(K12&gt;15,'Risk Matrix'!$C$30,IF('Risk Register'!K12&gt;9,'Risk Matrix'!$C$29,IF('Risk Register'!K12&gt;4,'Risk Matrix'!$C$28,IF(OR(K12=0, K12=""), "N/A",'Risk Matrix'!$C$27))))</f>
        <v>Management responsibility must be specified.  Policy and procedures must be documented.  Works cannot proceed without management oversight.  Records should be audited annually.</v>
      </c>
      <c r="M12" s="13" t="str">
        <f t="shared" si="2"/>
        <v>Yes</v>
      </c>
      <c r="N12" s="20"/>
      <c r="O12" s="12"/>
      <c r="P12" s="12"/>
      <c r="Q12" s="7"/>
      <c r="R12" s="13"/>
      <c r="S12" s="20"/>
      <c r="T12" s="12"/>
      <c r="U12" s="12"/>
      <c r="V12" s="7"/>
      <c r="W12" s="7"/>
      <c r="X12" s="7"/>
      <c r="Y12" s="7"/>
      <c r="Z12" s="7"/>
    </row>
    <row r="13" spans="1:26" ht="225" x14ac:dyDescent="0.25">
      <c r="A13" s="29" t="s">
        <v>311</v>
      </c>
      <c r="B13" s="29" t="s">
        <v>156</v>
      </c>
      <c r="C13" s="29" t="str">
        <f>IF(B13="Quality",'Risk Information '!$B$34,IF(B13="Environment",'Risk Information '!$B$35,IF(B13="WHS",'Risk Information '!$B$36,)))</f>
        <v>Work Health and Safety Act (QLD) 2013</v>
      </c>
      <c r="D13" s="19" t="s">
        <v>8</v>
      </c>
      <c r="E13" s="19" t="s">
        <v>14</v>
      </c>
      <c r="F13" s="13">
        <f t="shared" si="0"/>
        <v>10</v>
      </c>
      <c r="G13" s="59" t="str">
        <f>IF(F13&gt;15,'Risk Information '!$A$16,IF('Risk Register'!F13&gt;9,'Risk Information '!$A$17,IF('Risk Register'!F13&gt;4,'Risk Information '!$A$18,IF(OR(F13=0, F13=""), "N/A",'Risk Information '!$A$19))))</f>
        <v>Permission from high level management is permitted before work can proceed or further reduce risk.</v>
      </c>
      <c r="H13" s="10" t="s">
        <v>73</v>
      </c>
      <c r="I13" s="8" t="s">
        <v>9</v>
      </c>
      <c r="J13" s="8" t="s">
        <v>15</v>
      </c>
      <c r="K13" s="9">
        <f t="shared" si="1"/>
        <v>4</v>
      </c>
      <c r="L13" s="59" t="str">
        <f>IF(K13&gt;15,'Risk Matrix'!$C$30,IF('Risk Register'!K13&gt;9,'Risk Matrix'!$C$29,IF('Risk Register'!K13&gt;4,'Risk Matrix'!$C$28,IF(OR(K13=0, K13=""), "N/A",'Risk Matrix'!$C$27))))</f>
        <v>Management responsibility must be specified.  Policy and procedures must be documented.  Works cannot proceed without management oversight.  Records should be audited annually.</v>
      </c>
      <c r="M13" s="13" t="str">
        <f t="shared" si="2"/>
        <v>Yes</v>
      </c>
      <c r="N13" s="20"/>
      <c r="O13" s="12"/>
      <c r="P13" s="12"/>
      <c r="Q13" s="7"/>
      <c r="R13" s="13"/>
      <c r="S13" s="20"/>
      <c r="T13" s="12"/>
      <c r="U13" s="12"/>
      <c r="V13" s="7"/>
      <c r="W13" s="7"/>
      <c r="X13" s="7"/>
      <c r="Y13" s="7"/>
      <c r="Z13" s="7"/>
    </row>
    <row r="14" spans="1:26" ht="225" x14ac:dyDescent="0.25">
      <c r="A14" s="29" t="s">
        <v>72</v>
      </c>
      <c r="B14" s="29" t="s">
        <v>156</v>
      </c>
      <c r="C14" s="29" t="str">
        <f>IF(B14="Quality",'Risk Information '!$B$34,IF(B14="Environment",'Risk Information '!$B$35,IF(B14="WHS",'Risk Information '!$B$36,)))</f>
        <v>Work Health and Safety Act (QLD) 2013</v>
      </c>
      <c r="D14" s="19" t="s">
        <v>7</v>
      </c>
      <c r="E14" s="19" t="s">
        <v>14</v>
      </c>
      <c r="F14" s="13">
        <f t="shared" si="0"/>
        <v>15</v>
      </c>
      <c r="G14" s="59" t="str">
        <f>IF(F14&gt;15,'Risk Information '!$A$16,IF('Risk Register'!F14&gt;9,'Risk Information '!$A$17,IF('Risk Register'!F14&gt;4,'Risk Information '!$A$18,IF(OR(F14=0, F14=""), "N/A",'Risk Information '!$A$19))))</f>
        <v>Permission from worker in charge is permitted before work can proceed.</v>
      </c>
      <c r="H14" s="10" t="s">
        <v>310</v>
      </c>
      <c r="I14" s="8" t="s">
        <v>9</v>
      </c>
      <c r="J14" s="8" t="s">
        <v>15</v>
      </c>
      <c r="K14" s="9">
        <f t="shared" si="1"/>
        <v>4</v>
      </c>
      <c r="L14" s="59" t="str">
        <f>IF(K14&gt;15,'Risk Matrix'!$C$30,IF('Risk Register'!K14&gt;9,'Risk Matrix'!$C$29,IF('Risk Register'!K14&gt;4,'Risk Matrix'!$C$28,IF(OR(K14=0, K14=""), "N/A",'Risk Matrix'!$C$27))))</f>
        <v>Management responsibility must be specified.  Policy and procedures must be documented.  Works cannot proceed without management oversight.  Records should be audited annually.</v>
      </c>
      <c r="M14" s="13" t="str">
        <f t="shared" si="2"/>
        <v>Yes</v>
      </c>
      <c r="N14" s="20"/>
      <c r="O14" s="12"/>
      <c r="P14" s="12"/>
      <c r="Q14" s="7"/>
      <c r="R14" s="13"/>
      <c r="S14" s="20"/>
      <c r="T14" s="19"/>
      <c r="U14" s="12"/>
      <c r="V14" s="7"/>
      <c r="W14" s="7"/>
      <c r="X14" s="7"/>
      <c r="Y14" s="7"/>
      <c r="Z14" s="7"/>
    </row>
    <row r="15" spans="1:26" ht="409.5" x14ac:dyDescent="0.25">
      <c r="A15" s="29" t="s">
        <v>70</v>
      </c>
      <c r="B15" s="29" t="s">
        <v>156</v>
      </c>
      <c r="C15" s="29" t="str">
        <f>IF(B15="Quality",'Risk Information '!$B$34,IF(B15="Environment",'Risk Information '!$B$35,IF(B15="WHS",'Risk Information '!$B$36,)))</f>
        <v>Work Health and Safety Act (QLD) 2013</v>
      </c>
      <c r="D15" s="19" t="s">
        <v>6</v>
      </c>
      <c r="E15" s="19" t="s">
        <v>15</v>
      </c>
      <c r="F15" s="13">
        <f t="shared" si="0"/>
        <v>16</v>
      </c>
      <c r="G15" s="59" t="str">
        <f>IF(F15&gt;15,'Risk Information '!$A$16,IF('Risk Register'!F15&gt;9,'Risk Information '!$A$17,IF('Risk Register'!F15&gt;4,'Risk Information '!$A$18,IF(OR(F15=0, F15=""), "N/A",'Risk Information '!$A$19))))</f>
        <v>Work is unable to proceed until the risk can be reduced.</v>
      </c>
      <c r="H15" s="10" t="s">
        <v>309</v>
      </c>
      <c r="I15" s="8" t="s">
        <v>9</v>
      </c>
      <c r="J15" s="8" t="s">
        <v>15</v>
      </c>
      <c r="K15" s="9">
        <f t="shared" si="1"/>
        <v>4</v>
      </c>
      <c r="L15" s="59" t="str">
        <f>IF(K15&gt;15,'Risk Matrix'!$C$30,IF('Risk Register'!K15&gt;9,'Risk Matrix'!$C$29,IF('Risk Register'!K15&gt;4,'Risk Matrix'!$C$28,IF(OR(K15=0, K15=""), "N/A",'Risk Matrix'!$C$27))))</f>
        <v xml:space="preserve">Management attention is needed. Control/preventive measures must be documented, monitored, measured and reviewed periodically for adequacy and compliance. Director must be directly involved and approve in writing for works to proceed.  Responsibility for monitoring and verification activities must be clearly defined and documented.  Corrective action (to be taken when unacceptable variations occur) must be documented.  Records must be maintained to demonstrate that the above requirements are being undertaken, and audited at least monthly. </v>
      </c>
      <c r="M15" s="13" t="str">
        <f t="shared" si="2"/>
        <v>Yes</v>
      </c>
      <c r="N15" s="20"/>
      <c r="O15" s="19"/>
      <c r="P15" s="12"/>
      <c r="Q15" s="7"/>
      <c r="R15" s="13"/>
      <c r="S15" s="20"/>
      <c r="T15" s="19"/>
      <c r="U15" s="19"/>
      <c r="V15" s="7"/>
      <c r="W15" s="7"/>
      <c r="X15" s="7"/>
      <c r="Y15" s="7"/>
      <c r="Z15" s="7"/>
    </row>
    <row r="16" spans="1:26" ht="321.75" x14ac:dyDescent="0.25">
      <c r="A16" s="29" t="s">
        <v>307</v>
      </c>
      <c r="B16" s="29" t="s">
        <v>156</v>
      </c>
      <c r="C16" s="29" t="str">
        <f>IF(B16="Quality",'Risk Information '!$B$34,IF(B16="Environment",'Risk Information '!$B$35,IF(B16="WHS",'Risk Information '!$B$36,)))</f>
        <v>Work Health and Safety Act (QLD) 2013</v>
      </c>
      <c r="D16" s="19" t="s">
        <v>6</v>
      </c>
      <c r="E16" s="19" t="s">
        <v>14</v>
      </c>
      <c r="F16" s="13">
        <f t="shared" si="0"/>
        <v>20</v>
      </c>
      <c r="G16" s="59" t="str">
        <f>IF(F16&gt;15,'Risk Information '!$A$16,IF('Risk Register'!F16&gt;9,'Risk Information '!$A$17,IF('Risk Register'!F16&gt;4,'Risk Information '!$A$18,IF(OR(F16=0, F16=""), "N/A",'Risk Information '!$A$19))))</f>
        <v>Work is unable to proceed until the risk can be reduced.</v>
      </c>
      <c r="H16" s="10" t="s">
        <v>308</v>
      </c>
      <c r="I16" s="8" t="s">
        <v>9</v>
      </c>
      <c r="J16" s="8" t="s">
        <v>14</v>
      </c>
      <c r="K16" s="9">
        <f t="shared" si="1"/>
        <v>5</v>
      </c>
      <c r="L16" s="59" t="str">
        <f>IF(K16&gt;15,'Risk Matrix'!$C$30,IF('Risk Register'!K16&gt;9,'Risk Matrix'!$C$29,IF('Risk Register'!K16&gt;4,'Risk Matrix'!$C$28,IF(OR(K16=0, K16=""), "N/A",'Risk Matrix'!$C$27))))</f>
        <v>Managed by routine procedures.  Records should be audited annually.  Work may proceed without specific management oversight.</v>
      </c>
      <c r="M16" s="13" t="str">
        <f t="shared" si="2"/>
        <v>Yes</v>
      </c>
      <c r="N16" s="20"/>
      <c r="O16" s="19"/>
      <c r="P16" s="19"/>
      <c r="Q16" s="7"/>
      <c r="R16" s="13"/>
      <c r="S16" s="20"/>
      <c r="T16" s="19"/>
      <c r="U16" s="19"/>
      <c r="V16" s="7"/>
      <c r="W16" s="7"/>
      <c r="X16" s="7"/>
      <c r="Y16" s="7"/>
      <c r="Z16" s="7"/>
    </row>
    <row r="17" spans="1:26" ht="202.5" x14ac:dyDescent="0.25">
      <c r="A17" s="29" t="s">
        <v>67</v>
      </c>
      <c r="B17" s="29" t="s">
        <v>156</v>
      </c>
      <c r="C17" s="29" t="str">
        <f>IF(B17="Quality",'Risk Information '!$B$34,IF(B17="Environment",'Risk Information '!$B$35,IF(B17="WHS",'Risk Information '!$B$36,)))</f>
        <v>Work Health and Safety Act (QLD) 2013</v>
      </c>
      <c r="D17" s="19" t="s">
        <v>6</v>
      </c>
      <c r="E17" s="19" t="s">
        <v>14</v>
      </c>
      <c r="F17" s="13">
        <f t="shared" si="0"/>
        <v>20</v>
      </c>
      <c r="G17" s="59" t="str">
        <f>IF(F17&gt;15,'Risk Information '!$A$16,IF('Risk Register'!F17&gt;9,'Risk Information '!$A$17,IF('Risk Register'!F17&gt;4,'Risk Information '!$A$18,IF(OR(F17=0, F17=""), "N/A",'Risk Information '!$A$19))))</f>
        <v>Work is unable to proceed until the risk can be reduced.</v>
      </c>
      <c r="H17" s="10" t="s">
        <v>68</v>
      </c>
      <c r="I17" s="8" t="s">
        <v>9</v>
      </c>
      <c r="J17" s="8" t="s">
        <v>14</v>
      </c>
      <c r="K17" s="9">
        <f t="shared" si="1"/>
        <v>5</v>
      </c>
      <c r="L17" s="59" t="str">
        <f>IF(K17&gt;15,'Risk Matrix'!$C$30,IF('Risk Register'!K17&gt;9,'Risk Matrix'!$C$29,IF('Risk Register'!K17&gt;4,'Risk Matrix'!$C$28,IF(OR(K17=0, K17=""), "N/A",'Risk Matrix'!$C$27))))</f>
        <v>Managed by routine procedures.  Records should be audited annually.  Work may proceed without specific management oversight.</v>
      </c>
      <c r="M17" s="13" t="str">
        <f t="shared" si="2"/>
        <v>Yes</v>
      </c>
      <c r="N17" s="20"/>
      <c r="O17" s="19"/>
      <c r="P17" s="19"/>
      <c r="Q17" s="7"/>
      <c r="R17" s="13"/>
      <c r="S17" s="20"/>
      <c r="T17" s="19"/>
      <c r="U17" s="19"/>
      <c r="V17" s="7"/>
      <c r="W17" s="7"/>
      <c r="X17" s="7"/>
      <c r="Y17" s="7"/>
      <c r="Z17" s="7"/>
    </row>
    <row r="18" spans="1:26" ht="202.5" x14ac:dyDescent="0.25">
      <c r="A18" s="29" t="s">
        <v>65</v>
      </c>
      <c r="B18" s="29" t="s">
        <v>156</v>
      </c>
      <c r="C18" s="29" t="str">
        <f>IF(B18="Quality",'Risk Information '!$B$34,IF(B18="Environment",'Risk Information '!$B$35,IF(B18="WHS",'Risk Information '!$B$36,)))</f>
        <v>Work Health and Safety Act (QLD) 2013</v>
      </c>
      <c r="D18" s="19" t="s">
        <v>7</v>
      </c>
      <c r="E18" s="19" t="s">
        <v>14</v>
      </c>
      <c r="F18" s="13">
        <f t="shared" si="0"/>
        <v>15</v>
      </c>
      <c r="G18" s="59" t="str">
        <f>IF(F18&gt;15,'Risk Information '!$A$16,IF('Risk Register'!F18&gt;9,'Risk Information '!$A$17,IF('Risk Register'!F18&gt;4,'Risk Information '!$A$18,IF(OR(F18=0, F18=""), "N/A",'Risk Information '!$A$19))))</f>
        <v>Permission from high level management is permitted before work can proceed or further reduce risk.</v>
      </c>
      <c r="H18" s="10" t="s">
        <v>66</v>
      </c>
      <c r="I18" s="8" t="s">
        <v>9</v>
      </c>
      <c r="J18" s="8" t="s">
        <v>14</v>
      </c>
      <c r="K18" s="9">
        <f t="shared" si="1"/>
        <v>5</v>
      </c>
      <c r="L18" s="59" t="str">
        <f>IF(K18&gt;15,'Risk Matrix'!$C$30,IF('Risk Register'!K18&gt;9,'Risk Matrix'!$C$29,IF('Risk Register'!K18&gt;4,'Risk Matrix'!$C$28,IF(OR(K18=0, K18=""), "N/A",'Risk Matrix'!$C$27))))</f>
        <v>Managed by routine procedures.  Records should be audited annually.  Work may proceed without specific management oversight.</v>
      </c>
      <c r="M18" s="13" t="str">
        <f t="shared" si="2"/>
        <v>Yes</v>
      </c>
      <c r="N18" s="20"/>
      <c r="O18" s="19"/>
      <c r="P18" s="19"/>
      <c r="Q18" s="7"/>
      <c r="R18" s="13"/>
      <c r="S18" s="20"/>
      <c r="T18" s="19"/>
      <c r="U18" s="19"/>
      <c r="V18" s="7"/>
      <c r="W18" s="7"/>
      <c r="X18" s="7"/>
      <c r="Y18" s="7"/>
      <c r="Z18" s="7"/>
    </row>
    <row r="19" spans="1:26" ht="180" x14ac:dyDescent="0.25">
      <c r="A19" s="29" t="s">
        <v>63</v>
      </c>
      <c r="B19" s="29" t="s">
        <v>156</v>
      </c>
      <c r="C19" s="29" t="str">
        <f>IF(B19="Quality",'Risk Information '!$B$34,IF(B19="Environment",'Risk Information '!$B$35,IF(B19="WHS",'Risk Information '!$B$36,)))</f>
        <v>Work Health and Safety Act (QLD) 2013</v>
      </c>
      <c r="D19" s="19" t="s">
        <v>7</v>
      </c>
      <c r="E19" s="19" t="s">
        <v>15</v>
      </c>
      <c r="F19" s="13">
        <f t="shared" si="0"/>
        <v>12</v>
      </c>
      <c r="G19" s="59" t="str">
        <f>IF(F19&gt;15,'Risk Information '!$A$16,IF('Risk Register'!F19&gt;9,'Risk Information '!$A$17,IF('Risk Register'!F19&gt;4,'Risk Information '!$A$18,IF(OR(F19=0, F19=""), "N/A",'Risk Information '!$A$19))))</f>
        <v>Permission from high level management is permitted before work can proceed or further reduce risk.</v>
      </c>
      <c r="H19" s="5" t="s">
        <v>64</v>
      </c>
      <c r="I19" s="8" t="s">
        <v>9</v>
      </c>
      <c r="J19" s="8" t="s">
        <v>15</v>
      </c>
      <c r="K19" s="9">
        <f t="shared" si="1"/>
        <v>4</v>
      </c>
      <c r="L19" s="59" t="str">
        <f>IF(K19&gt;15,'Risk Matrix'!$C$30,IF('Risk Register'!K19&gt;9,'Risk Matrix'!$C$29,IF('Risk Register'!K19&gt;4,'Risk Matrix'!$C$28,IF(OR(K19=0, K19=""), "N/A",'Risk Matrix'!$C$27))))</f>
        <v>Managed by routine procedures.  Records should be audited annually.  Work may proceed without specific management oversight.</v>
      </c>
      <c r="M19" s="13" t="str">
        <f t="shared" si="2"/>
        <v>Yes</v>
      </c>
      <c r="N19" s="20"/>
      <c r="O19" s="19"/>
      <c r="P19" s="19"/>
      <c r="Q19" s="7"/>
      <c r="R19" s="13"/>
      <c r="S19" s="20"/>
      <c r="T19" s="19"/>
      <c r="U19" s="19"/>
      <c r="V19" s="7"/>
      <c r="W19" s="7"/>
      <c r="X19" s="7"/>
      <c r="Y19" s="7"/>
      <c r="Z19" s="7"/>
    </row>
    <row r="20" spans="1:26" ht="202.5" x14ac:dyDescent="0.25">
      <c r="A20" s="29" t="s">
        <v>62</v>
      </c>
      <c r="B20" s="29" t="s">
        <v>156</v>
      </c>
      <c r="C20" s="29" t="str">
        <f>IF(B20="Quality",'Risk Information '!$B$34,IF(B20="Environment",'Risk Information '!$B$35,IF(B20="WHS",'Risk Information '!$B$36,)))</f>
        <v>Work Health and Safety Act (QLD) 2013</v>
      </c>
      <c r="D20" s="19" t="s">
        <v>8</v>
      </c>
      <c r="E20" s="19" t="s">
        <v>14</v>
      </c>
      <c r="F20" s="13">
        <f t="shared" si="0"/>
        <v>10</v>
      </c>
      <c r="G20" s="59" t="str">
        <f>IF(F20&gt;15,'Risk Information '!$A$16,IF('Risk Register'!F20&gt;9,'Risk Information '!$A$17,IF('Risk Register'!F20&gt;4,'Risk Information '!$A$18,IF(OR(F20=0, F20=""), "N/A",'Risk Information '!$A$19))))</f>
        <v>Permission from high level management is permitted before work can proceed or further reduce risk.</v>
      </c>
      <c r="H20" s="5" t="s">
        <v>61</v>
      </c>
      <c r="I20" s="8" t="s">
        <v>9</v>
      </c>
      <c r="J20" s="8" t="s">
        <v>14</v>
      </c>
      <c r="K20" s="9">
        <f t="shared" si="1"/>
        <v>5</v>
      </c>
      <c r="L20" s="59" t="str">
        <f>IF(K20&gt;15,'Risk Matrix'!$C$30,IF('Risk Register'!K20&gt;9,'Risk Matrix'!$C$29,IF('Risk Register'!K20&gt;4,'Risk Matrix'!$C$28,IF(OR(K20=0, K20=""), "N/A",'Risk Matrix'!$C$27))))</f>
        <v>Managed by routine procedures.  Records should be audited annually.  Work may proceed without specific management oversight.</v>
      </c>
      <c r="M20" s="13" t="str">
        <f t="shared" si="2"/>
        <v>Yes</v>
      </c>
      <c r="N20" s="20"/>
      <c r="O20" s="19"/>
      <c r="P20" s="19"/>
      <c r="Q20" s="7"/>
      <c r="R20" s="13"/>
      <c r="S20" s="20"/>
      <c r="T20" s="19"/>
      <c r="U20" s="19"/>
      <c r="V20" s="7"/>
      <c r="W20" s="7"/>
      <c r="X20" s="7"/>
      <c r="Y20" s="7"/>
      <c r="Z20" s="7"/>
    </row>
    <row r="21" spans="1:26" ht="306" x14ac:dyDescent="0.25">
      <c r="A21" s="29" t="s">
        <v>59</v>
      </c>
      <c r="B21" s="29" t="s">
        <v>156</v>
      </c>
      <c r="C21" s="29" t="str">
        <f>IF(B21="Quality",'Risk Information '!$B$34,IF(B21="Environment",'Risk Information '!$B$35,IF(B21="WHS",'Risk Information '!$B$36,)))</f>
        <v>Work Health and Safety Act (QLD) 2013</v>
      </c>
      <c r="D21" s="19" t="s">
        <v>7</v>
      </c>
      <c r="E21" s="19" t="s">
        <v>14</v>
      </c>
      <c r="F21" s="13">
        <f t="shared" si="0"/>
        <v>15</v>
      </c>
      <c r="G21" s="59" t="str">
        <f>IF(F21&gt;15,'Risk Information '!$A$16,IF('Risk Register'!F21&gt;9,'Risk Information '!$A$17,IF('Risk Register'!F21&gt;4,'Risk Information '!$A$18,IF(OR(F21=0, F21=""), "N/A",'Risk Information '!$A$19))))</f>
        <v>Permission from worker in charge is permitted before work can proceed.</v>
      </c>
      <c r="H21" s="5" t="s">
        <v>60</v>
      </c>
      <c r="I21" s="8" t="s">
        <v>9</v>
      </c>
      <c r="J21" s="8" t="s">
        <v>14</v>
      </c>
      <c r="K21" s="9">
        <f t="shared" si="1"/>
        <v>5</v>
      </c>
      <c r="L21" s="59" t="str">
        <f>IF(K21&gt;15,'Risk Matrix'!$C$30,IF('Risk Register'!K21&gt;9,'Risk Matrix'!$C$29,IF('Risk Register'!K21&gt;4,'Risk Matrix'!$C$28,IF(OR(K21=0, K21=""), "N/A",'Risk Matrix'!$C$27))))</f>
        <v>Managed by routine procedures.  Records should be audited annually.  Work may proceed without specific management oversight.</v>
      </c>
      <c r="M21" s="13" t="str">
        <f t="shared" si="2"/>
        <v>Yes</v>
      </c>
      <c r="N21" s="20"/>
      <c r="O21" s="19"/>
      <c r="P21" s="19"/>
      <c r="Q21" s="7"/>
      <c r="R21" s="13"/>
      <c r="S21" s="20"/>
      <c r="T21" s="19"/>
      <c r="U21" s="19"/>
      <c r="V21" s="7"/>
      <c r="W21" s="7"/>
      <c r="X21" s="7"/>
      <c r="Y21" s="7"/>
      <c r="Z21" s="7"/>
    </row>
    <row r="22" spans="1:26" ht="234" x14ac:dyDescent="0.25">
      <c r="A22" s="29" t="s">
        <v>56</v>
      </c>
      <c r="B22" s="29" t="s">
        <v>156</v>
      </c>
      <c r="C22" s="29" t="str">
        <f>IF(B22="Quality",'Risk Information '!$B$34,IF(B22="Environment",'Risk Information '!$B$35,IF(B22="WHS",'Risk Information '!$B$36,)))</f>
        <v>Work Health and Safety Act (QLD) 2013</v>
      </c>
      <c r="D22" s="19" t="s">
        <v>7</v>
      </c>
      <c r="E22" s="19" t="s">
        <v>15</v>
      </c>
      <c r="F22" s="13">
        <f t="shared" si="0"/>
        <v>12</v>
      </c>
      <c r="G22" s="59" t="str">
        <f>IF(F22&gt;15,'Risk Information '!$A$16,IF('Risk Register'!F22&gt;9,'Risk Information '!$A$17,IF('Risk Register'!F22&gt;4,'Risk Information '!$A$18,IF(OR(F22=0, F22=""), "N/A",'Risk Information '!$A$19))))</f>
        <v>Permission from worker in charge is permitted before work can proceed.</v>
      </c>
      <c r="H22" s="5" t="s">
        <v>57</v>
      </c>
      <c r="I22" s="8" t="s">
        <v>8</v>
      </c>
      <c r="J22" s="8" t="s">
        <v>17</v>
      </c>
      <c r="K22" s="9">
        <f t="shared" si="1"/>
        <v>4</v>
      </c>
      <c r="L22" s="59" t="str">
        <f>IF(K22&gt;15,'Risk Matrix'!$C$30,IF('Risk Register'!K22&gt;9,'Risk Matrix'!$C$29,IF('Risk Register'!K22&gt;4,'Risk Matrix'!$C$28,IF(OR(K22=0, K22=""), "N/A",'Risk Matrix'!$C$27))))</f>
        <v>Managed by routine procedures.  Records should be audited annually.  Work may proceed without specific management oversight.</v>
      </c>
      <c r="M22" s="13" t="str">
        <f t="shared" si="2"/>
        <v>Yes</v>
      </c>
      <c r="N22" s="20"/>
      <c r="O22" s="19"/>
      <c r="P22" s="19"/>
      <c r="Q22" s="7"/>
      <c r="R22" s="13"/>
      <c r="S22" s="20"/>
      <c r="T22" s="19"/>
      <c r="U22" s="19"/>
      <c r="V22" s="7"/>
      <c r="W22" s="7"/>
      <c r="X22" s="7"/>
      <c r="Y22" s="7"/>
      <c r="Z22" s="7"/>
    </row>
    <row r="23" spans="1:26" ht="279" x14ac:dyDescent="0.25">
      <c r="A23" s="29" t="s">
        <v>54</v>
      </c>
      <c r="B23" s="29" t="s">
        <v>156</v>
      </c>
      <c r="C23" s="29" t="str">
        <f>IF(B23="Quality",'Risk Information '!$B$34,IF(B23="Environment",'Risk Information '!$B$35,IF(B23="WHS",'Risk Information '!$B$36,)))</f>
        <v>Work Health and Safety Act (QLD) 2013</v>
      </c>
      <c r="D23" s="19" t="s">
        <v>8</v>
      </c>
      <c r="E23" s="19" t="s">
        <v>14</v>
      </c>
      <c r="F23" s="13">
        <f t="shared" si="0"/>
        <v>10</v>
      </c>
      <c r="G23" s="59" t="str">
        <f>IF(F23&gt;15,'Risk Information '!$A$16,IF('Risk Register'!F23&gt;9,'Risk Information '!$A$17,IF('Risk Register'!F23&gt;4,'Risk Information '!$A$18,IF(OR(F23=0, F23=""), "N/A",'Risk Information '!$A$19))))</f>
        <v>Permission from high level management is permitted before work can proceed or further reduce risk.</v>
      </c>
      <c r="H23" s="5" t="s">
        <v>55</v>
      </c>
      <c r="I23" s="8" t="s">
        <v>9</v>
      </c>
      <c r="J23" s="8" t="s">
        <v>15</v>
      </c>
      <c r="K23" s="9">
        <f t="shared" si="1"/>
        <v>4</v>
      </c>
      <c r="L23" s="59" t="str">
        <f>IF(K23&gt;15,'Risk Matrix'!$C$30,IF('Risk Register'!K23&gt;9,'Risk Matrix'!$C$29,IF('Risk Register'!K23&gt;4,'Risk Matrix'!$C$28,IF(OR(K23=0, K23=""), "N/A",'Risk Matrix'!$C$27))))</f>
        <v>Managed by routine procedures.  Records should be audited annually.  Work may proceed without specific management oversight.</v>
      </c>
      <c r="M23" s="13" t="str">
        <f t="shared" si="2"/>
        <v>Yes</v>
      </c>
      <c r="N23" s="20"/>
      <c r="O23" s="19"/>
      <c r="P23" s="19"/>
      <c r="Q23" s="7"/>
      <c r="R23" s="13"/>
      <c r="S23" s="20"/>
      <c r="T23" s="19"/>
      <c r="U23" s="19"/>
      <c r="V23" s="7"/>
      <c r="W23" s="7"/>
      <c r="X23" s="7"/>
      <c r="Y23" s="7"/>
      <c r="Z23" s="7"/>
    </row>
    <row r="24" spans="1:26" ht="225" x14ac:dyDescent="0.25">
      <c r="A24" s="29" t="s">
        <v>52</v>
      </c>
      <c r="B24" s="29" t="s">
        <v>156</v>
      </c>
      <c r="C24" s="29" t="str">
        <f>IF(B24="Quality",'Risk Information '!$B$34,IF(B24="Environment",'Risk Information '!$B$35,IF(B24="WHS",'Risk Information '!$B$36,)))</f>
        <v>Work Health and Safety Act (QLD) 2013</v>
      </c>
      <c r="D24" s="19" t="s">
        <v>7</v>
      </c>
      <c r="E24" s="19" t="s">
        <v>15</v>
      </c>
      <c r="F24" s="13">
        <f t="shared" si="0"/>
        <v>12</v>
      </c>
      <c r="G24" s="59" t="str">
        <f>IF(F24&gt;15,'Risk Information '!$A$16,IF('Risk Register'!F24&gt;9,'Risk Information '!$A$17,IF('Risk Register'!F24&gt;4,'Risk Information '!$A$18,IF(OR(F24=0, F24=""), "N/A",'Risk Information '!$A$19))))</f>
        <v>Permission from high level management is permitted before work can proceed or further reduce risk.</v>
      </c>
      <c r="H24" s="5" t="s">
        <v>53</v>
      </c>
      <c r="I24" s="8" t="s">
        <v>8</v>
      </c>
      <c r="J24" s="8" t="s">
        <v>17</v>
      </c>
      <c r="K24" s="9">
        <f t="shared" si="1"/>
        <v>4</v>
      </c>
      <c r="L24" s="59" t="str">
        <f>IF(K24&gt;15,'Risk Matrix'!$C$30,IF('Risk Register'!K24&gt;9,'Risk Matrix'!$C$29,IF('Risk Register'!K24&gt;4,'Risk Matrix'!$C$28,IF(OR(K24=0, K24=""), "N/A",'Risk Matrix'!$C$27))))</f>
        <v>Management responsibility must be specified.  Policy and procedures must be documented.  Works cannot proceed without management oversight.  Records should be audited annually.</v>
      </c>
      <c r="M24" s="13" t="str">
        <f t="shared" si="2"/>
        <v>Yes</v>
      </c>
      <c r="N24" s="20"/>
      <c r="O24" s="19"/>
      <c r="P24" s="19"/>
      <c r="Q24" s="7"/>
      <c r="R24" s="13"/>
      <c r="S24" s="20"/>
      <c r="T24" s="19"/>
      <c r="U24" s="19"/>
      <c r="V24" s="7"/>
      <c r="W24" s="7"/>
      <c r="X24" s="7"/>
      <c r="Y24" s="7"/>
      <c r="Z24" s="7"/>
    </row>
    <row r="25" spans="1:26" ht="225" x14ac:dyDescent="0.25">
      <c r="A25" s="29" t="s">
        <v>50</v>
      </c>
      <c r="B25" s="29" t="s">
        <v>156</v>
      </c>
      <c r="C25" s="29" t="str">
        <f>IF(B25="Quality",'Risk Information '!$B$34,IF(B25="Environment",'Risk Information '!$B$35,IF(B25="WHS",'Risk Information '!$B$36,)))</f>
        <v>Work Health and Safety Act (QLD) 2013</v>
      </c>
      <c r="D25" s="19" t="s">
        <v>5</v>
      </c>
      <c r="E25" s="19" t="s">
        <v>17</v>
      </c>
      <c r="F25" s="13">
        <f t="shared" si="0"/>
        <v>10</v>
      </c>
      <c r="G25" s="59" t="str">
        <f>IF(F25&gt;15,'Risk Information '!$A$16,IF('Risk Register'!F25&gt;9,'Risk Information '!$A$17,IF('Risk Register'!F25&gt;4,'Risk Information '!$A$18,IF(OR(F25=0, F25=""), "N/A",'Risk Information '!$A$19))))</f>
        <v>Permission from high level management is permitted before work can proceed or further reduce risk.</v>
      </c>
      <c r="H25" s="5" t="s">
        <v>51</v>
      </c>
      <c r="I25" s="8" t="s">
        <v>8</v>
      </c>
      <c r="J25" s="8" t="s">
        <v>17</v>
      </c>
      <c r="K25" s="9">
        <f t="shared" si="1"/>
        <v>4</v>
      </c>
      <c r="L25" s="59" t="str">
        <f>IF(K25&gt;15,'Risk Matrix'!$C$30,IF('Risk Register'!K25&gt;9,'Risk Matrix'!$C$29,IF('Risk Register'!K25&gt;4,'Risk Matrix'!$C$28,IF(OR(K25=0, K25=""), "N/A",'Risk Matrix'!$C$27))))</f>
        <v>Management responsibility must be specified.  Policy and procedures must be documented.  Works cannot proceed without management oversight.  Records should be audited annually.</v>
      </c>
      <c r="M25" s="13" t="str">
        <f t="shared" si="2"/>
        <v>Yes</v>
      </c>
      <c r="N25" s="20"/>
      <c r="O25" s="19"/>
      <c r="P25" s="19"/>
      <c r="Q25" s="7"/>
      <c r="R25" s="13"/>
      <c r="S25" s="20"/>
      <c r="T25" s="21"/>
      <c r="U25" s="19"/>
      <c r="V25" s="7"/>
      <c r="W25" s="7"/>
      <c r="X25" s="7"/>
      <c r="Y25" s="7"/>
      <c r="Z25" s="7"/>
    </row>
    <row r="26" spans="1:26" ht="234" x14ac:dyDescent="0.25">
      <c r="A26" s="29" t="s">
        <v>41</v>
      </c>
      <c r="B26" s="29" t="s">
        <v>156</v>
      </c>
      <c r="C26" s="29" t="str">
        <f>IF(B26="Quality",'Risk Information '!$B$34,IF(B26="Environment",'Risk Information '!$B$35,IF(B26="WHS",'Risk Information '!$B$36,)))</f>
        <v>Work Health and Safety Act (QLD) 2013</v>
      </c>
      <c r="D26" s="19" t="s">
        <v>6</v>
      </c>
      <c r="E26" s="19" t="s">
        <v>15</v>
      </c>
      <c r="F26" s="13">
        <f t="shared" si="0"/>
        <v>16</v>
      </c>
      <c r="G26" s="59" t="str">
        <f>IF(F26&gt;15,'Risk Information '!$A$16,IF('Risk Register'!F26&gt;9,'Risk Information '!$A$17,IF('Risk Register'!F26&gt;4,'Risk Information '!$A$18,IF(OR(F26=0, F26=""), "N/A",'Risk Information '!$A$19))))</f>
        <v>Work is unable to proceed until the risk can be reduced.</v>
      </c>
      <c r="H26" s="5" t="s">
        <v>46</v>
      </c>
      <c r="I26" s="8" t="s">
        <v>9</v>
      </c>
      <c r="J26" s="8" t="s">
        <v>15</v>
      </c>
      <c r="K26" s="9">
        <f t="shared" si="1"/>
        <v>4</v>
      </c>
      <c r="L26" s="59" t="str">
        <f>IF(K26&gt;15,'Risk Matrix'!$C$30,IF('Risk Register'!K26&gt;9,'Risk Matrix'!$C$29,IF('Risk Register'!K26&gt;4,'Risk Matrix'!$C$28,IF(OR(K26=0, K26=""), "N/A",'Risk Matrix'!$C$27))))</f>
        <v>Managed by routine procedures.  Records should be audited annually.  Work may proceed without specific management oversight.</v>
      </c>
      <c r="M26" s="13" t="str">
        <f t="shared" si="2"/>
        <v>Yes</v>
      </c>
      <c r="N26" s="20"/>
      <c r="O26" s="21"/>
      <c r="P26" s="19"/>
      <c r="Q26" s="7"/>
      <c r="R26" s="13"/>
      <c r="S26" s="20"/>
      <c r="T26" s="21"/>
      <c r="U26" s="19"/>
      <c r="V26" s="7"/>
      <c r="W26" s="7"/>
      <c r="X26" s="7"/>
      <c r="Y26" s="7"/>
      <c r="Z26" s="7"/>
    </row>
    <row r="27" spans="1:26" ht="360" x14ac:dyDescent="0.25">
      <c r="A27" s="29" t="s">
        <v>40</v>
      </c>
      <c r="B27" s="29" t="s">
        <v>156</v>
      </c>
      <c r="C27" s="29" t="str">
        <f>IF(B27="Quality",'Risk Information '!$B$34,IF(B27="Environment",'Risk Information '!$B$35,IF(B27="WHS",'Risk Information '!$B$36,)))</f>
        <v>Work Health and Safety Act (QLD) 2013</v>
      </c>
      <c r="D27" s="19" t="s">
        <v>7</v>
      </c>
      <c r="E27" s="19" t="s">
        <v>16</v>
      </c>
      <c r="F27" s="13">
        <f t="shared" si="0"/>
        <v>9</v>
      </c>
      <c r="G27" s="59" t="str">
        <f>IF(F27&gt;15,'Risk Information '!$A$16,IF('Risk Register'!F27&gt;9,'Risk Information '!$A$17,IF('Risk Register'!F27&gt;4,'Risk Information '!$A$18,IF(OR(F27=0, F27=""), "N/A",'Risk Information '!$A$19))))</f>
        <v>Permission from high level management is permitted before work can proceed or further reduce risk.</v>
      </c>
      <c r="H27" s="5" t="s">
        <v>45</v>
      </c>
      <c r="I27" s="8" t="s">
        <v>9</v>
      </c>
      <c r="J27" s="8" t="s">
        <v>17</v>
      </c>
      <c r="K27" s="9">
        <f t="shared" si="1"/>
        <v>2</v>
      </c>
      <c r="L27" s="59" t="str">
        <f>IF(K27&gt;15,'Risk Matrix'!$C$30,IF('Risk Register'!K27&gt;9,'Risk Matrix'!$C$29,IF('Risk Register'!K27&gt;4,'Risk Matrix'!$C$28,IF(OR(K27=0, K27=""), "N/A",'Risk Matrix'!$C$27))))</f>
        <v>Management responsibility must be specified.  Policy and procedures must be documented.  Works cannot proceed without management oversight.  Records should be audited annually.</v>
      </c>
      <c r="M27" s="13" t="str">
        <f t="shared" si="2"/>
        <v>Yes</v>
      </c>
      <c r="N27" s="20"/>
      <c r="O27" s="21"/>
      <c r="P27" s="19"/>
      <c r="Q27" s="7"/>
      <c r="R27" s="13"/>
      <c r="S27" s="20"/>
      <c r="T27" s="21"/>
      <c r="U27" s="19"/>
      <c r="V27" s="7"/>
      <c r="W27" s="7"/>
      <c r="X27" s="7"/>
      <c r="Y27" s="7"/>
      <c r="Z27" s="7"/>
    </row>
    <row r="28" spans="1:26" ht="351" x14ac:dyDescent="0.25">
      <c r="A28" s="29" t="s">
        <v>86</v>
      </c>
      <c r="B28" s="29" t="s">
        <v>156</v>
      </c>
      <c r="C28" s="29" t="str">
        <f>IF(B28="Quality",'Risk Information '!$B$34,IF(B28="Environment",'Risk Information '!$B$35,IF(B28="WHS",'Risk Information '!$B$36,)))</f>
        <v>Work Health and Safety Act (QLD) 2013</v>
      </c>
      <c r="D28" s="19" t="s">
        <v>7</v>
      </c>
      <c r="E28" s="19" t="s">
        <v>14</v>
      </c>
      <c r="F28" s="13">
        <f t="shared" si="0"/>
        <v>15</v>
      </c>
      <c r="G28" s="59" t="str">
        <f>IF(F28&gt;15,'Risk Information '!$A$16,IF('Risk Register'!F28&gt;9,'Risk Information '!$A$17,IF('Risk Register'!F28&gt;4,'Risk Information '!$A$18,IF(OR(F28=0, F28=""), "N/A",'Risk Information '!$A$19))))</f>
        <v>Permission from worker in charge is permitted before work can proceed.</v>
      </c>
      <c r="H28" s="5" t="s">
        <v>306</v>
      </c>
      <c r="I28" s="8" t="s">
        <v>9</v>
      </c>
      <c r="J28" s="8" t="s">
        <v>14</v>
      </c>
      <c r="K28" s="9">
        <f t="shared" si="1"/>
        <v>5</v>
      </c>
      <c r="L28" s="59" t="str">
        <f>IF(K28&gt;15,'Risk Matrix'!$C$30,IF('Risk Register'!K28&gt;9,'Risk Matrix'!$C$29,IF('Risk Register'!K28&gt;4,'Risk Matrix'!$C$28,IF(OR(K28=0, K28=""), "N/A",'Risk Matrix'!$C$27))))</f>
        <v>Managed by routine procedures.  Records should be audited annually.  Work may proceed without specific management oversight.</v>
      </c>
      <c r="M28" s="13" t="str">
        <f t="shared" si="2"/>
        <v>Yes</v>
      </c>
      <c r="N28" s="20"/>
      <c r="O28" s="21"/>
      <c r="P28" s="19"/>
      <c r="Q28" s="7"/>
      <c r="R28" s="13"/>
      <c r="S28" s="20"/>
      <c r="T28" s="21"/>
      <c r="U28" s="19"/>
      <c r="V28" s="7"/>
      <c r="W28" s="7"/>
      <c r="X28" s="7"/>
      <c r="Y28" s="7"/>
      <c r="Z28" s="7"/>
    </row>
    <row r="29" spans="1:26" ht="202.5" x14ac:dyDescent="0.25">
      <c r="A29" s="29" t="s">
        <v>39</v>
      </c>
      <c r="B29" s="29" t="s">
        <v>156</v>
      </c>
      <c r="C29" s="29" t="str">
        <f>IF(B29="Quality",'Risk Information '!$B$34,IF(B29="Environment",'Risk Information '!$B$35,IF(B29="WHS",'Risk Information '!$B$36,)))</f>
        <v>Work Health and Safety Act (QLD) 2013</v>
      </c>
      <c r="D29" s="19" t="s">
        <v>6</v>
      </c>
      <c r="E29" s="19" t="s">
        <v>14</v>
      </c>
      <c r="F29" s="13">
        <f t="shared" si="0"/>
        <v>20</v>
      </c>
      <c r="G29" s="59" t="str">
        <f>IF(F29&gt;15,'Risk Information '!$A$16,IF('Risk Register'!F29&gt;9,'Risk Information '!$A$17,IF('Risk Register'!F29&gt;4,'Risk Information '!$A$18,IF(OR(F29=0, F29=""), "N/A",'Risk Information '!$A$19))))</f>
        <v>Work is unable to proceed until the risk can be reduced.</v>
      </c>
      <c r="H29" s="5" t="s">
        <v>44</v>
      </c>
      <c r="I29" s="8" t="s">
        <v>9</v>
      </c>
      <c r="J29" s="8" t="s">
        <v>18</v>
      </c>
      <c r="K29" s="9">
        <f t="shared" si="1"/>
        <v>1</v>
      </c>
      <c r="L29" s="59" t="str">
        <f>IF(K29&gt;15,'Risk Matrix'!$C$30,IF('Risk Register'!K29&gt;9,'Risk Matrix'!$C$29,IF('Risk Register'!K29&gt;4,'Risk Matrix'!$C$28,IF(OR(K29=0, K29=""), "N/A",'Risk Matrix'!$C$27))))</f>
        <v>Managed by routine procedures.  Records should be audited annually.  Work may proceed without specific management oversight.</v>
      </c>
      <c r="M29" s="13" t="str">
        <f t="shared" si="2"/>
        <v>Yes</v>
      </c>
      <c r="N29" s="20"/>
      <c r="O29" s="21"/>
      <c r="P29" s="19"/>
      <c r="Q29" s="7"/>
      <c r="R29" s="13"/>
      <c r="S29" s="20"/>
      <c r="T29" s="21"/>
      <c r="U29" s="19"/>
      <c r="V29" s="7"/>
      <c r="W29" s="7"/>
      <c r="X29" s="7"/>
      <c r="Y29" s="7"/>
      <c r="Z29" s="7"/>
    </row>
    <row r="30" spans="1:26" ht="333" x14ac:dyDescent="0.25">
      <c r="A30" s="29" t="s">
        <v>38</v>
      </c>
      <c r="B30" s="29" t="s">
        <v>156</v>
      </c>
      <c r="C30" s="29" t="str">
        <f>IF(B30="Quality",'Risk Information '!$B$34,IF(B30="Environment",'Risk Information '!$B$35,IF(B30="WHS",'Risk Information '!$B$36,)))</f>
        <v>Work Health and Safety Act (QLD) 2013</v>
      </c>
      <c r="D30" s="19" t="s">
        <v>7</v>
      </c>
      <c r="E30" s="19" t="s">
        <v>14</v>
      </c>
      <c r="F30" s="13">
        <f t="shared" si="0"/>
        <v>15</v>
      </c>
      <c r="G30" s="59" t="str">
        <f>IF(F30&gt;15,'Risk Information '!$A$16,IF('Risk Register'!F30&gt;9,'Risk Information '!$A$17,IF('Risk Register'!F30&gt;4,'Risk Information '!$A$18,IF(OR(F30=0, F30=""), "N/A",'Risk Information '!$A$19))))</f>
        <v>Permission from high level management is permitted before work can proceed or further reduce risk.</v>
      </c>
      <c r="H30" s="5" t="s">
        <v>43</v>
      </c>
      <c r="I30" s="8" t="s">
        <v>9</v>
      </c>
      <c r="J30" s="8" t="s">
        <v>14</v>
      </c>
      <c r="K30" s="9">
        <f t="shared" si="1"/>
        <v>5</v>
      </c>
      <c r="L30" s="59" t="str">
        <f>IF(K30&gt;15,'Risk Matrix'!$C$30,IF('Risk Register'!K30&gt;9,'Risk Matrix'!$C$29,IF('Risk Register'!K30&gt;4,'Risk Matrix'!$C$28,IF(OR(K30=0, K30=""), "N/A",'Risk Matrix'!$C$27))))</f>
        <v>Managed by routine procedures.  Records should be audited annually.  Work may proceed without specific management oversight.</v>
      </c>
      <c r="M30" s="13" t="str">
        <f t="shared" si="2"/>
        <v>Yes</v>
      </c>
      <c r="N30" s="20"/>
      <c r="O30" s="21"/>
      <c r="P30" s="19"/>
      <c r="Q30" s="7"/>
      <c r="R30" s="13"/>
      <c r="S30" s="20"/>
      <c r="T30" s="21"/>
      <c r="U30" s="19"/>
      <c r="V30" s="7"/>
      <c r="W30" s="7"/>
      <c r="X30" s="7"/>
      <c r="Y30" s="7"/>
      <c r="Z30" s="7"/>
    </row>
    <row r="31" spans="1:26" ht="202.5" x14ac:dyDescent="0.25">
      <c r="A31" s="29" t="s">
        <v>37</v>
      </c>
      <c r="B31" s="29" t="s">
        <v>156</v>
      </c>
      <c r="C31" s="29" t="str">
        <f>IF(B31="Quality",'Risk Information '!$B$34,IF(B31="Environment",'Risk Information '!$B$35,IF(B31="WHS",'Risk Information '!$B$36,)))</f>
        <v>Work Health and Safety Act (QLD) 2013</v>
      </c>
      <c r="D31" s="19" t="s">
        <v>7</v>
      </c>
      <c r="E31" s="19" t="s">
        <v>14</v>
      </c>
      <c r="F31" s="13">
        <f t="shared" si="0"/>
        <v>15</v>
      </c>
      <c r="G31" s="59" t="str">
        <f>IF(F31&gt;15,'Risk Information '!$A$16,IF('Risk Register'!F31&gt;9,'Risk Information '!$A$17,IF('Risk Register'!F31&gt;4,'Risk Information '!$A$18,IF(OR(F31=0, F31=""), "N/A",'Risk Information '!$A$19))))</f>
        <v>Permission from high level management is permitted before work can proceed or further reduce risk.</v>
      </c>
      <c r="H31" s="5" t="s">
        <v>74</v>
      </c>
      <c r="I31" s="8" t="s">
        <v>9</v>
      </c>
      <c r="J31" s="8" t="s">
        <v>14</v>
      </c>
      <c r="K31" s="9">
        <f t="shared" si="1"/>
        <v>5</v>
      </c>
      <c r="L31" s="59" t="str">
        <f>IF(K31&gt;15,'Risk Matrix'!$C$30,IF('Risk Register'!K31&gt;9,'Risk Matrix'!$C$29,IF('Risk Register'!K31&gt;4,'Risk Matrix'!$C$28,IF(OR(K31=0, K31=""), "N/A",'Risk Matrix'!$C$27))))</f>
        <v>Managed by routine procedures.  Records should be audited annually.  Work may proceed without specific management oversight.</v>
      </c>
      <c r="M31" s="13" t="str">
        <f t="shared" si="2"/>
        <v>Yes</v>
      </c>
      <c r="N31" s="20"/>
      <c r="O31" s="21"/>
      <c r="P31" s="19"/>
      <c r="Q31" s="7"/>
      <c r="R31" s="13"/>
      <c r="S31" s="20"/>
      <c r="T31" s="21"/>
      <c r="U31" s="19"/>
      <c r="V31" s="7"/>
      <c r="W31" s="7"/>
      <c r="X31" s="7"/>
      <c r="Y31" s="7"/>
      <c r="Z31" s="7"/>
    </row>
    <row r="32" spans="1:26" ht="191.25" x14ac:dyDescent="0.25">
      <c r="A32" s="29" t="s">
        <v>35</v>
      </c>
      <c r="B32" s="29" t="s">
        <v>156</v>
      </c>
      <c r="C32" s="29" t="str">
        <f>IF(B32="Quality",'Risk Information '!$B$34,IF(B32="Environment",'Risk Information '!$B$35,IF(B32="WHS",'Risk Information '!$B$36,)))</f>
        <v>Work Health and Safety Act (QLD) 2013</v>
      </c>
      <c r="D32" s="19" t="s">
        <v>7</v>
      </c>
      <c r="E32" s="19" t="s">
        <v>15</v>
      </c>
      <c r="F32" s="13">
        <f t="shared" si="0"/>
        <v>12</v>
      </c>
      <c r="G32" s="59" t="str">
        <f>IF(F32&gt;15,'Risk Information '!$A$16,IF('Risk Register'!F32&gt;9,'Risk Information '!$A$17,IF('Risk Register'!F32&gt;4,'Risk Information '!$A$18,IF(OR(F32=0, F32=""), "N/A",'Risk Information '!$A$19))))</f>
        <v>Permission from high level management is permitted before work can proceed or further reduce risk.</v>
      </c>
      <c r="H32" s="5" t="s">
        <v>36</v>
      </c>
      <c r="I32" s="8" t="s">
        <v>8</v>
      </c>
      <c r="J32" s="8" t="s">
        <v>17</v>
      </c>
      <c r="K32" s="9">
        <f t="shared" si="1"/>
        <v>4</v>
      </c>
      <c r="L32" s="59" t="str">
        <f>IF(K32&gt;15,'Risk Matrix'!$C$30,IF('Risk Register'!K32&gt;9,'Risk Matrix'!$C$29,IF('Risk Register'!K32&gt;4,'Risk Matrix'!$C$28,IF(OR(K32=0, K32=""), "N/A",'Risk Matrix'!$C$27))))</f>
        <v>Managed by routine procedures.  Records should be audited annually.  Work may proceed without specific management oversight.</v>
      </c>
      <c r="M32" s="13" t="str">
        <f t="shared" si="2"/>
        <v>Yes</v>
      </c>
      <c r="N32" s="20"/>
      <c r="O32" s="21"/>
      <c r="P32" s="19"/>
      <c r="Q32" s="7"/>
      <c r="R32" s="13"/>
      <c r="S32" s="20"/>
      <c r="T32" s="21"/>
      <c r="U32" s="19"/>
      <c r="V32" s="7"/>
      <c r="W32" s="7"/>
      <c r="X32" s="7"/>
      <c r="Y32" s="7"/>
      <c r="Z32" s="7"/>
    </row>
    <row r="33" spans="1:26" ht="243" x14ac:dyDescent="0.25">
      <c r="A33" s="29" t="s">
        <v>31</v>
      </c>
      <c r="B33" s="29" t="s">
        <v>156</v>
      </c>
      <c r="C33" s="29" t="str">
        <f>IF(B33="Quality",'Risk Information '!$B$34,IF(B33="Environment",'Risk Information '!$B$35,IF(B33="WHS",'Risk Information '!$B$36,)))</f>
        <v>Work Health and Safety Act (QLD) 2013</v>
      </c>
      <c r="D33" s="19" t="s">
        <v>7</v>
      </c>
      <c r="E33" s="19" t="s">
        <v>16</v>
      </c>
      <c r="F33" s="13">
        <f t="shared" si="0"/>
        <v>9</v>
      </c>
      <c r="G33" s="59" t="str">
        <f>IF(F33&gt;15,'Risk Information '!$A$16,IF('Risk Register'!F33&gt;9,'Risk Information '!$A$17,IF('Risk Register'!F33&gt;4,'Risk Information '!$A$18,IF(OR(F33=0, F33=""), "N/A",'Risk Information '!$A$19))))</f>
        <v>Permission from high level management is permitted before work can proceed or further reduce risk.</v>
      </c>
      <c r="H33" s="5" t="s">
        <v>42</v>
      </c>
      <c r="I33" s="8" t="s">
        <v>8</v>
      </c>
      <c r="J33" s="8" t="s">
        <v>17</v>
      </c>
      <c r="K33" s="9">
        <f t="shared" si="1"/>
        <v>4</v>
      </c>
      <c r="L33" s="59" t="str">
        <f>IF(K33&gt;15,'Risk Matrix'!$C$30,IF('Risk Register'!K33&gt;9,'Risk Matrix'!$C$29,IF('Risk Register'!K33&gt;4,'Risk Matrix'!$C$28,IF(OR(K33=0, K33=""), "N/A",'Risk Matrix'!$C$27))))</f>
        <v>Managed by routine procedures.  Records should be audited annually.  Work may proceed without specific management oversight.</v>
      </c>
      <c r="M33" s="13" t="str">
        <f t="shared" si="2"/>
        <v>Yes</v>
      </c>
      <c r="N33" s="20"/>
      <c r="O33" s="21"/>
      <c r="P33" s="19"/>
      <c r="Q33" s="7"/>
      <c r="R33" s="13"/>
      <c r="S33" s="20"/>
      <c r="T33" s="21"/>
      <c r="U33" s="19"/>
      <c r="V33" s="7"/>
      <c r="W33" s="7"/>
      <c r="X33" s="7"/>
      <c r="Y33" s="7"/>
      <c r="Z33" s="7"/>
    </row>
    <row r="34" spans="1:26" ht="225" x14ac:dyDescent="0.25">
      <c r="A34" s="29" t="s">
        <v>30</v>
      </c>
      <c r="B34" s="29" t="s">
        <v>156</v>
      </c>
      <c r="C34" s="29" t="str">
        <f>IF(B34="Quality",'Risk Information '!$B$34,IF(B34="Environment",'Risk Information '!$B$35,IF(B34="WHS",'Risk Information '!$B$36,)))</f>
        <v>Work Health and Safety Act (QLD) 2013</v>
      </c>
      <c r="D34" s="19" t="s">
        <v>6</v>
      </c>
      <c r="E34" s="19" t="s">
        <v>17</v>
      </c>
      <c r="F34" s="13">
        <f t="shared" si="0"/>
        <v>8</v>
      </c>
      <c r="G34" s="59" t="str">
        <f>IF(F34&gt;15,'Risk Information '!$A$16,IF('Risk Register'!F34&gt;9,'Risk Information '!$A$17,IF('Risk Register'!F34&gt;4,'Risk Information '!$A$18,IF(OR(F34=0, F34=""), "N/A",'Risk Information '!$A$19))))</f>
        <v>Permission from high level management is permitted before work can proceed or further reduce risk.</v>
      </c>
      <c r="H34" s="5" t="s">
        <v>32</v>
      </c>
      <c r="I34" s="8" t="s">
        <v>8</v>
      </c>
      <c r="J34" s="8" t="s">
        <v>17</v>
      </c>
      <c r="K34" s="9">
        <f t="shared" si="1"/>
        <v>4</v>
      </c>
      <c r="L34" s="59" t="str">
        <f>IF(K34&gt;15,'Risk Matrix'!$C$30,IF('Risk Register'!K34&gt;9,'Risk Matrix'!$C$29,IF('Risk Register'!K34&gt;4,'Risk Matrix'!$C$28,IF(OR(K34=0, K34=""), "N/A",'Risk Matrix'!$C$27))))</f>
        <v>Management responsibility must be specified.  Policy and procedures must be documented.  Works cannot proceed without management oversight.  Records should be audited annually.</v>
      </c>
      <c r="M34" s="13" t="str">
        <f t="shared" si="2"/>
        <v>Yes</v>
      </c>
      <c r="N34" s="20"/>
      <c r="O34" s="21"/>
      <c r="P34" s="19"/>
      <c r="Q34" s="7"/>
      <c r="R34" s="13"/>
      <c r="S34" s="20"/>
      <c r="T34" s="21"/>
      <c r="U34" s="19"/>
      <c r="V34" s="7"/>
      <c r="W34" s="7"/>
      <c r="X34" s="7"/>
      <c r="Y34" s="7"/>
      <c r="Z34" s="7"/>
    </row>
    <row r="35" spans="1:26" ht="378" x14ac:dyDescent="0.25">
      <c r="A35" s="29" t="s">
        <v>29</v>
      </c>
      <c r="B35" s="29" t="s">
        <v>156</v>
      </c>
      <c r="C35" s="29" t="str">
        <f>IF(B35="Quality",'Risk Information '!$B$34,IF(B35="Environment",'Risk Information '!$B$35,IF(B35="WHS",'Risk Information '!$B$36,)))</f>
        <v>Work Health and Safety Act (QLD) 2013</v>
      </c>
      <c r="D35" s="19" t="s">
        <v>8</v>
      </c>
      <c r="E35" s="19" t="s">
        <v>14</v>
      </c>
      <c r="F35" s="13">
        <f t="shared" si="0"/>
        <v>10</v>
      </c>
      <c r="G35" s="59" t="str">
        <f>IF(F35&gt;15,'Risk Information '!$A$16,IF('Risk Register'!F35&gt;9,'Risk Information '!$A$17,IF('Risk Register'!F35&gt;4,'Risk Information '!$A$18,IF(OR(F35=0, F35=""), "N/A",'Risk Information '!$A$19))))</f>
        <v>Permission from high level management is permitted before work can proceed or further reduce risk.</v>
      </c>
      <c r="H35" s="5" t="s">
        <v>58</v>
      </c>
      <c r="I35" s="8" t="s">
        <v>9</v>
      </c>
      <c r="J35" s="8" t="s">
        <v>18</v>
      </c>
      <c r="K35" s="9">
        <f t="shared" si="1"/>
        <v>1</v>
      </c>
      <c r="L35" s="59" t="str">
        <f>IF(K35&gt;15,'Risk Matrix'!$C$30,IF('Risk Register'!K35&gt;9,'Risk Matrix'!$C$29,IF('Risk Register'!K35&gt;4,'Risk Matrix'!$C$28,IF(OR(K35=0, K35=""), "N/A",'Risk Matrix'!$C$27))))</f>
        <v>Management responsibility must be specified.  Policy and procedures must be documented.  Works cannot proceed without management oversight.  Records should be audited annually.</v>
      </c>
      <c r="M35" s="13" t="str">
        <f t="shared" si="2"/>
        <v>Yes</v>
      </c>
      <c r="N35" s="20"/>
      <c r="O35" s="21"/>
      <c r="P35" s="19"/>
      <c r="Q35" s="7"/>
      <c r="R35" s="13"/>
      <c r="S35" s="20"/>
      <c r="T35" s="21"/>
      <c r="U35" s="19"/>
      <c r="V35" s="7"/>
      <c r="W35" s="7"/>
      <c r="X35" s="7"/>
      <c r="Y35" s="7"/>
      <c r="Z35" s="7"/>
    </row>
    <row r="36" spans="1:26" ht="198" x14ac:dyDescent="0.25">
      <c r="A36" s="29" t="s">
        <v>28</v>
      </c>
      <c r="B36" s="29" t="s">
        <v>156</v>
      </c>
      <c r="C36" s="29" t="str">
        <f>IF(B36="Quality",'Risk Information '!$B$34,IF(B36="Environment",'Risk Information '!$B$35,IF(B36="WHS",'Risk Information '!$B$36,)))</f>
        <v>Work Health and Safety Act (QLD) 2013</v>
      </c>
      <c r="D36" s="19" t="s">
        <v>6</v>
      </c>
      <c r="E36" s="19" t="s">
        <v>15</v>
      </c>
      <c r="F36" s="13">
        <f t="shared" si="0"/>
        <v>16</v>
      </c>
      <c r="G36" s="59" t="str">
        <f>IF(F36&gt;15,'Risk Information '!$A$16,IF('Risk Register'!F36&gt;9,'Risk Information '!$A$17,IF('Risk Register'!F36&gt;4,'Risk Information '!$A$18,IF(OR(F36=0, F36=""), "N/A",'Risk Information '!$A$19))))</f>
        <v>Work is unable to proceed until the risk can be reduced.</v>
      </c>
      <c r="H36" s="5" t="s">
        <v>69</v>
      </c>
      <c r="I36" s="8" t="s">
        <v>9</v>
      </c>
      <c r="J36" s="8" t="s">
        <v>18</v>
      </c>
      <c r="K36" s="9">
        <f t="shared" si="1"/>
        <v>1</v>
      </c>
      <c r="L36" s="59" t="str">
        <f>IF(K36&gt;15,'Risk Matrix'!$C$30,IF('Risk Register'!K36&gt;9,'Risk Matrix'!$C$29,IF('Risk Register'!K36&gt;4,'Risk Matrix'!$C$28,IF(OR(K36=0, K36=""), "N/A",'Risk Matrix'!$C$27))))</f>
        <v>Managed by routine procedures.  Records should be audited annually.  Work may proceed without specific management oversight.</v>
      </c>
      <c r="M36" s="13" t="str">
        <f t="shared" si="2"/>
        <v>Yes</v>
      </c>
      <c r="N36" s="20"/>
      <c r="O36" s="21"/>
      <c r="P36" s="19"/>
      <c r="Q36" s="7"/>
      <c r="R36" s="13"/>
      <c r="S36" s="20"/>
      <c r="T36" s="21"/>
      <c r="U36" s="19"/>
      <c r="V36" s="7"/>
      <c r="W36" s="7"/>
      <c r="X36" s="7"/>
      <c r="Y36" s="7"/>
      <c r="Z36" s="7"/>
    </row>
    <row r="37" spans="1:26" ht="409.5" x14ac:dyDescent="0.25">
      <c r="A37" s="29" t="s">
        <v>27</v>
      </c>
      <c r="B37" s="29" t="s">
        <v>156</v>
      </c>
      <c r="C37" s="29" t="str">
        <f>IF(B37="Quality",'Risk Information '!$B$34,IF(B37="Environment",'Risk Information '!$B$35,IF(B37="WHS",'Risk Information '!$B$36,)))</f>
        <v>Work Health and Safety Act (QLD) 2013</v>
      </c>
      <c r="D37" s="19" t="s">
        <v>6</v>
      </c>
      <c r="E37" s="19" t="s">
        <v>15</v>
      </c>
      <c r="F37" s="13">
        <f t="shared" si="0"/>
        <v>16</v>
      </c>
      <c r="G37" s="59" t="str">
        <f>IF(F37&gt;15,'Risk Information '!$A$16,IF('Risk Register'!F37&gt;9,'Risk Information '!$A$17,IF('Risk Register'!F37&gt;4,'Risk Information '!$A$18,IF(OR(F37=0, F37=""), "N/A",'Risk Information '!$A$19))))</f>
        <v>Work is unable to proceed until the risk can be reduced.</v>
      </c>
      <c r="H37" s="5" t="s">
        <v>71</v>
      </c>
      <c r="I37" s="8" t="s">
        <v>8</v>
      </c>
      <c r="J37" s="8" t="s">
        <v>17</v>
      </c>
      <c r="K37" s="9">
        <f t="shared" si="1"/>
        <v>4</v>
      </c>
      <c r="L37" s="59" t="str">
        <f>IF(K37&gt;15,'Risk Matrix'!$C$30,IF('Risk Register'!K37&gt;9,'Risk Matrix'!$C$29,IF('Risk Register'!K37&gt;4,'Risk Matrix'!$C$28,IF(OR(K37=0, K37=""), "N/A",'Risk Matrix'!$C$27))))</f>
        <v>Management responsibility must be specified.  Policy and procedures must be documented.  Works cannot proceed without management oversight.  Records should be audited annually.</v>
      </c>
      <c r="M37" s="13" t="str">
        <f t="shared" si="2"/>
        <v>Yes</v>
      </c>
      <c r="N37" s="20"/>
      <c r="O37" s="21"/>
      <c r="P37" s="19"/>
      <c r="Q37" s="7"/>
      <c r="R37" s="13"/>
      <c r="S37" s="20"/>
      <c r="T37" s="21"/>
      <c r="U37" s="19"/>
      <c r="V37" s="7"/>
      <c r="W37" s="7"/>
      <c r="X37" s="7"/>
      <c r="Y37" s="7"/>
      <c r="Z37" s="7"/>
    </row>
    <row r="38" spans="1:26" ht="225" x14ac:dyDescent="0.25">
      <c r="A38" s="29" t="s">
        <v>305</v>
      </c>
      <c r="B38" s="29" t="s">
        <v>156</v>
      </c>
      <c r="C38" s="29" t="str">
        <f>IF(B38="Quality",'Risk Information '!$B$34,IF(B38="Environment",'Risk Information '!$B$35,IF(B38="WHS",'Risk Information '!$B$36,)))</f>
        <v>Work Health and Safety Act (QLD) 2013</v>
      </c>
      <c r="D38" s="19" t="s">
        <v>5</v>
      </c>
      <c r="E38" s="19" t="s">
        <v>16</v>
      </c>
      <c r="F38" s="13">
        <f t="shared" si="0"/>
        <v>15</v>
      </c>
      <c r="G38" s="59" t="str">
        <f>IF(F38&gt;15,'Risk Information '!$A$16,IF('Risk Register'!F38&gt;9,'Risk Information '!$A$17,IF('Risk Register'!F38&gt;4,'Risk Information '!$A$18,IF(OR(F38=0, F38=""), "N/A",'Risk Information '!$A$19))))</f>
        <v>Permission from high level management is permitted before work can proceed or further reduce risk.</v>
      </c>
      <c r="H38" s="5" t="s">
        <v>33</v>
      </c>
      <c r="I38" s="8" t="s">
        <v>9</v>
      </c>
      <c r="J38" s="8" t="s">
        <v>15</v>
      </c>
      <c r="K38" s="9">
        <f t="shared" si="1"/>
        <v>4</v>
      </c>
      <c r="L38" s="59" t="str">
        <f>IF(K38&gt;15,'Risk Matrix'!$C$30,IF('Risk Register'!K38&gt;9,'Risk Matrix'!$C$29,IF('Risk Register'!K38&gt;4,'Risk Matrix'!$C$28,IF(OR(K38=0, K38=""), "N/A",'Risk Matrix'!$C$27))))</f>
        <v>Management responsibility must be specified.  Policy and procedures must be documented.  Works cannot proceed without management oversight.  Records should be audited annually.</v>
      </c>
      <c r="M38" s="13" t="str">
        <f t="shared" si="2"/>
        <v>Yes</v>
      </c>
      <c r="N38" s="20"/>
      <c r="O38" s="21"/>
      <c r="P38" s="19"/>
      <c r="Q38" s="7"/>
      <c r="R38" s="13"/>
      <c r="S38" s="20"/>
      <c r="T38" s="21"/>
      <c r="U38" s="19"/>
      <c r="V38" s="7"/>
      <c r="W38" s="7"/>
      <c r="X38" s="7"/>
      <c r="Y38" s="7"/>
      <c r="Z38" s="7"/>
    </row>
    <row r="39" spans="1:26" ht="409.5" x14ac:dyDescent="0.25">
      <c r="A39" s="29" t="s">
        <v>25</v>
      </c>
      <c r="B39" s="29" t="s">
        <v>156</v>
      </c>
      <c r="C39" s="29" t="str">
        <f>IF(B39="Quality",'Risk Information '!$B$34,IF(B39="Environment",'Risk Information '!$B$35,IF(B39="WHS",'Risk Information '!$B$36,)))</f>
        <v>Work Health and Safety Act (QLD) 2013</v>
      </c>
      <c r="D39" s="19" t="s">
        <v>250</v>
      </c>
      <c r="E39" s="19" t="s">
        <v>14</v>
      </c>
      <c r="F39" s="13">
        <f t="shared" si="0"/>
        <v>5</v>
      </c>
      <c r="G39" s="59" t="str">
        <f>IF(F39&gt;15,'Risk Matrix'!$C$30,IF('Risk Register'!F39&gt;9,'Risk Matrix'!$C$29,IF('Risk Register'!F39&gt;4,'Risk Matrix'!$C$28,IF(OR(F39=0, F39=""), "N/A",'Risk Matrix'!$C$27))))</f>
        <v xml:space="preserve">Management attention is needed. Control/preventive measures must be documented, monitored, measured and reviewed periodically for adequacy and compliance. Director must be directly involved and approve in writing for works to proceed.  Responsibility for monitoring and verification activities must be clearly defined and documented.  Corrective action (to be taken when unacceptable variations occur) must be documented.  Records must be maintained to demonstrate that the above requirements are being undertaken, and audited at least monthly. </v>
      </c>
      <c r="H39" s="24" t="s">
        <v>34</v>
      </c>
      <c r="I39" s="8" t="s">
        <v>9</v>
      </c>
      <c r="J39" s="8" t="s">
        <v>15</v>
      </c>
      <c r="K39" s="9">
        <f t="shared" si="1"/>
        <v>4</v>
      </c>
      <c r="L39" s="59" t="str">
        <f>IF(K39&gt;15,'Risk Matrix'!$C$30,IF('Risk Register'!K39&gt;9,'Risk Matrix'!$C$29,IF('Risk Register'!K39&gt;4,'Risk Matrix'!$C$28,IF(OR(K39=0, K39=""), "N/A",'Risk Matrix'!$C$27))))</f>
        <v>Management responsibility must be specified.  Policy and procedures must be documented.  Works cannot proceed without management oversight.  Records should be audited annually.</v>
      </c>
      <c r="M39" s="23" t="str">
        <f t="shared" si="2"/>
        <v>Yes</v>
      </c>
      <c r="N39" s="25"/>
      <c r="O39" s="21"/>
      <c r="P39" s="19"/>
      <c r="Q39" s="26"/>
      <c r="R39" s="73"/>
      <c r="S39" s="73"/>
      <c r="T39" s="73"/>
      <c r="U39" s="73"/>
      <c r="V39" s="26"/>
      <c r="W39" s="26"/>
      <c r="X39" s="26"/>
      <c r="Y39" s="26"/>
      <c r="Z39" s="26"/>
    </row>
    <row r="40" spans="1:26" ht="409.5" x14ac:dyDescent="0.25">
      <c r="A40" s="69" t="s">
        <v>282</v>
      </c>
      <c r="B40" s="29" t="s">
        <v>156</v>
      </c>
      <c r="C40" s="29" t="str">
        <f>IF(B40="Quality",'Risk Information '!$B$34,IF(B40="Environment",'Risk Information '!$B$35,IF(B40="WHS",'Risk Information '!$B$36,)))</f>
        <v>Work Health and Safety Act (QLD) 2013</v>
      </c>
      <c r="D40" s="19" t="s">
        <v>248</v>
      </c>
      <c r="E40" s="19" t="s">
        <v>14</v>
      </c>
      <c r="F40" s="13">
        <f t="shared" si="0"/>
        <v>20</v>
      </c>
      <c r="G40" s="59" t="str">
        <f>IF(F40&gt;15,'Risk Matrix'!$C$30,IF('Risk Register'!F40&gt;9,'Risk Matrix'!$C$29,IF('Risk Register'!F40&gt;4,'Risk Matrix'!$C$28,IF(OR(F40=0, F40=""), "N/A",'Risk Matrix'!$C$27))))</f>
        <v xml:space="preserve">Management must give this area high priority. Immediate action is required to bring the risk under control.  No extreme risk rating works may be carried out under any circumstances. Control/preventive measures must be documented, monitored, measured and reviewed periodically for adequacy and compliance.  Responsibility for monitoring and verification activities must be clearly defined and documented. Frequency of verification and validation activities (to check that controls are being applied and are effective) must be defined and documented.  Corrective action (to be taken when unacceptable variations occur) must be documented.  Records must be maintained to demonstrate that the above requirements are being undertaken, and audited at least monthly. </v>
      </c>
      <c r="H40" s="24" t="s">
        <v>273</v>
      </c>
      <c r="I40" s="8" t="s">
        <v>249</v>
      </c>
      <c r="J40" s="8" t="s">
        <v>14</v>
      </c>
      <c r="K40" s="9">
        <f t="shared" si="1"/>
        <v>10</v>
      </c>
      <c r="L40" s="59" t="str">
        <f>IF(K40&gt;15,'Risk Matrix'!$C$30,IF('Risk Register'!K40&gt;9,'Risk Matrix'!$C$29,IF('Risk Register'!K40&gt;4,'Risk Matrix'!$C$28,IF(OR(K40=0, K40=""), "N/A",'Risk Matrix'!$C$27))))</f>
        <v>Managed by routine procedures.  Records should be audited annually.  Work may proceed without specific management oversight.</v>
      </c>
      <c r="M40" s="23" t="str">
        <f t="shared" si="2"/>
        <v>Yes</v>
      </c>
      <c r="N40" s="25"/>
      <c r="O40" s="21"/>
      <c r="P40" s="19"/>
      <c r="Q40" s="7"/>
      <c r="R40" s="72"/>
      <c r="S40" s="72"/>
      <c r="T40" s="72"/>
      <c r="U40" s="72"/>
      <c r="V40" s="7"/>
      <c r="W40" s="7"/>
      <c r="X40" s="7"/>
      <c r="Y40" s="7"/>
      <c r="Z40" s="7"/>
    </row>
    <row r="41" spans="1:26" ht="409.5" x14ac:dyDescent="0.25">
      <c r="A41" s="69" t="s">
        <v>276</v>
      </c>
      <c r="B41" s="29" t="s">
        <v>156</v>
      </c>
      <c r="C41" s="29" t="str">
        <f>IF(B41="Quality",'Risk Information '!$B$34,IF(B41="Environment",'Risk Information '!$B$35,IF(B41="WHS",'Risk Information '!$B$36,)))</f>
        <v>Work Health and Safety Act (QLD) 2013</v>
      </c>
      <c r="D41" s="19" t="s">
        <v>247</v>
      </c>
      <c r="E41" s="19" t="s">
        <v>18</v>
      </c>
      <c r="F41" s="13">
        <f t="shared" si="0"/>
        <v>5</v>
      </c>
      <c r="G41" s="59" t="str">
        <f>IF(F41&gt;15,'Risk Matrix'!$C$30,IF('Risk Register'!F41&gt;9,'Risk Matrix'!$C$29,IF('Risk Register'!F41&gt;4,'Risk Matrix'!$C$28,IF(OR(F41=0, F41=""), "N/A",'Risk Matrix'!$C$27))))</f>
        <v xml:space="preserve">Management attention is needed. Control/preventive measures must be documented, monitored, measured and reviewed periodically for adequacy and compliance. Director must be directly involved and approve in writing for works to proceed.  Responsibility for monitoring and verification activities must be clearly defined and documented.  Corrective action (to be taken when unacceptable variations occur) must be documented.  Records must be maintained to demonstrate that the above requirements are being undertaken, and audited at least monthly. </v>
      </c>
      <c r="H41" s="24" t="s">
        <v>275</v>
      </c>
      <c r="I41" s="8" t="s">
        <v>247</v>
      </c>
      <c r="J41" s="8" t="s">
        <v>18</v>
      </c>
      <c r="K41" s="9">
        <f t="shared" si="1"/>
        <v>5</v>
      </c>
      <c r="L41" s="59" t="str">
        <f>IF(K41&gt;15,'Risk Matrix'!$C$30,IF('Risk Register'!K41&gt;9,'Risk Matrix'!$C$29,IF('Risk Register'!K41&gt;4,'Risk Matrix'!$C$28,IF(OR(K41=0, K41=""), "N/A",'Risk Matrix'!$C$27))))</f>
        <v>Managed by routine procedures.  Records should be audited annually.  Work may proceed without specific management oversight.</v>
      </c>
      <c r="M41" s="23" t="str">
        <f t="shared" si="2"/>
        <v>Yes</v>
      </c>
      <c r="N41" s="25"/>
      <c r="O41" s="21"/>
      <c r="P41" s="19"/>
      <c r="Q41" s="7"/>
      <c r="R41" s="72"/>
      <c r="S41" s="72"/>
      <c r="T41" s="72"/>
      <c r="U41" s="72"/>
      <c r="V41" s="7"/>
      <c r="W41" s="7"/>
      <c r="X41" s="7"/>
      <c r="Y41" s="7"/>
      <c r="Z41" s="7"/>
    </row>
    <row r="42" spans="1:26" ht="409.5" x14ac:dyDescent="0.25">
      <c r="A42" s="69" t="s">
        <v>277</v>
      </c>
      <c r="B42" s="29" t="s">
        <v>156</v>
      </c>
      <c r="C42" s="29" t="str">
        <f>IF(B42="Quality",'Risk Information '!$B$34,IF(B42="Environment",'Risk Information '!$B$35,IF(B42="WHS",'Risk Information '!$B$36,)))</f>
        <v>Work Health and Safety Act (QLD) 2013</v>
      </c>
      <c r="D42" s="19" t="s">
        <v>247</v>
      </c>
      <c r="E42" s="19" t="s">
        <v>16</v>
      </c>
      <c r="F42" s="13">
        <f t="shared" si="0"/>
        <v>15</v>
      </c>
      <c r="G42" s="59" t="str">
        <f>IF(F42&gt;15,'Risk Matrix'!$C$30,IF('Risk Register'!F42&gt;9,'Risk Matrix'!$C$29,IF('Risk Register'!F42&gt;4,'Risk Matrix'!$C$28,IF(OR(F42=0, F42=""), "N/A",'Risk Matrix'!$C$27))))</f>
        <v xml:space="preserve">Management attention is needed. Control/preventive measures must be documented, monitored, measured and reviewed periodically for adequacy and compliance. Director must be directly involved and approve in writing for works to proceed.  Responsibility for monitoring and verification activities must be clearly defined and documented.  Corrective action (to be taken when unacceptable variations occur) must be documented.  Records must be maintained to demonstrate that the above requirements are being undertaken, and audited at least monthly. </v>
      </c>
      <c r="H42" s="24" t="s">
        <v>278</v>
      </c>
      <c r="I42" s="8" t="s">
        <v>247</v>
      </c>
      <c r="J42" s="8" t="s">
        <v>18</v>
      </c>
      <c r="K42" s="9">
        <f t="shared" si="1"/>
        <v>5</v>
      </c>
      <c r="L42" s="59" t="str">
        <f>IF(K42&gt;15,'Risk Matrix'!$C$30,IF('Risk Register'!K42&gt;9,'Risk Matrix'!$C$29,IF('Risk Register'!K42&gt;4,'Risk Matrix'!$C$28,IF(OR(K42=0, K42=""), "N/A",'Risk Matrix'!$C$27))))</f>
        <v>Managed by routine procedures.  Records should be audited annually.  Work may proceed without specific management oversight.</v>
      </c>
      <c r="M42" s="23" t="str">
        <f t="shared" si="2"/>
        <v>Yes</v>
      </c>
      <c r="N42" s="25"/>
      <c r="O42" s="21"/>
      <c r="P42" s="19"/>
      <c r="Q42" s="7"/>
      <c r="R42" s="72"/>
      <c r="S42" s="72"/>
      <c r="T42" s="72"/>
      <c r="U42" s="72"/>
      <c r="V42" s="7"/>
      <c r="W42" s="7"/>
      <c r="X42" s="7"/>
      <c r="Y42" s="7"/>
      <c r="Z42" s="7"/>
    </row>
    <row r="43" spans="1:26" ht="409.5" x14ac:dyDescent="0.25">
      <c r="A43" s="69" t="s">
        <v>279</v>
      </c>
      <c r="B43" s="29" t="s">
        <v>156</v>
      </c>
      <c r="C43" s="29" t="str">
        <f>IF(B43="Quality",'Risk Information '!$B$34,IF(B43="Environment",'Risk Information '!$B$35,IF(B43="WHS",'Risk Information '!$B$36,)))</f>
        <v>Work Health and Safety Act (QLD) 2013</v>
      </c>
      <c r="D43" s="19" t="s">
        <v>248</v>
      </c>
      <c r="E43" s="19" t="s">
        <v>15</v>
      </c>
      <c r="F43" s="13">
        <f t="shared" si="0"/>
        <v>16</v>
      </c>
      <c r="G43" s="59" t="str">
        <f>IF(F43&gt;15,'Risk Matrix'!$C$30,IF('Risk Register'!F43&gt;9,'Risk Matrix'!$C$29,IF('Risk Register'!F43&gt;4,'Risk Matrix'!$C$28,IF(OR(F43=0, F43=""), "N/A",'Risk Matrix'!$C$27))))</f>
        <v xml:space="preserve">Management must give this area high priority. Immediate action is required to bring the risk under control.  No extreme risk rating works may be carried out under any circumstances. Control/preventive measures must be documented, monitored, measured and reviewed periodically for adequacy and compliance.  Responsibility for monitoring and verification activities must be clearly defined and documented. Frequency of verification and validation activities (to check that controls are being applied and are effective) must be defined and documented.  Corrective action (to be taken when unacceptable variations occur) must be documented.  Records must be maintained to demonstrate that the above requirements are being undertaken, and audited at least monthly. </v>
      </c>
      <c r="H43" s="24" t="s">
        <v>280</v>
      </c>
      <c r="I43" s="8" t="s">
        <v>249</v>
      </c>
      <c r="J43" s="8" t="s">
        <v>16</v>
      </c>
      <c r="K43" s="9">
        <f t="shared" si="1"/>
        <v>6</v>
      </c>
      <c r="L43" s="59" t="str">
        <f>IF(K43&gt;15,'Risk Matrix'!$C$30,IF('Risk Register'!K43&gt;9,'Risk Matrix'!$C$29,IF('Risk Register'!K43&gt;4,'Risk Matrix'!$C$28,IF(OR(K43=0, K43=""), "N/A",'Risk Matrix'!$C$27))))</f>
        <v>Management responsibility must be specified.  Policy and procedures must be documented.  Works cannot proceed without management oversight.  Records should be audited annually.</v>
      </c>
      <c r="M43" s="23" t="str">
        <f t="shared" si="2"/>
        <v>Yes</v>
      </c>
      <c r="N43" s="25"/>
      <c r="O43" s="21"/>
      <c r="P43" s="19"/>
      <c r="Q43" s="7"/>
      <c r="R43" s="72"/>
      <c r="S43" s="72"/>
      <c r="T43" s="72"/>
      <c r="U43" s="72"/>
      <c r="V43" s="7"/>
      <c r="W43" s="7"/>
      <c r="X43" s="7"/>
      <c r="Y43" s="7"/>
      <c r="Z43" s="7"/>
    </row>
    <row r="44" spans="1:26" ht="409.5" x14ac:dyDescent="0.25">
      <c r="A44" s="69" t="s">
        <v>281</v>
      </c>
      <c r="B44" s="29" t="s">
        <v>156</v>
      </c>
      <c r="C44" s="29" t="str">
        <f>IF(B44="Quality",'Risk Information '!$B$34,IF(B44="Environment",'Risk Information '!$B$35,IF(B44="WHS",'Risk Information '!$B$36,)))</f>
        <v>Work Health and Safety Act (QLD) 2013</v>
      </c>
      <c r="D44" s="19" t="s">
        <v>248</v>
      </c>
      <c r="E44" s="19" t="s">
        <v>15</v>
      </c>
      <c r="F44" s="13">
        <f t="shared" si="0"/>
        <v>16</v>
      </c>
      <c r="G44" s="59" t="str">
        <f>IF(F44&gt;15,'Risk Matrix'!$C$30,IF('Risk Register'!F44&gt;9,'Risk Matrix'!$C$29,IF('Risk Register'!F44&gt;4,'Risk Matrix'!$C$28,IF(OR(F44=0, F44=""), "N/A",'Risk Matrix'!$C$27))))</f>
        <v xml:space="preserve">Management must give this area high priority. Immediate action is required to bring the risk under control.  No extreme risk rating works may be carried out under any circumstances. Control/preventive measures must be documented, monitored, measured and reviewed periodically for adequacy and compliance.  Responsibility for monitoring and verification activities must be clearly defined and documented. Frequency of verification and validation activities (to check that controls are being applied and are effective) must be defined and documented.  Corrective action (to be taken when unacceptable variations occur) must be documented.  Records must be maintained to demonstrate that the above requirements are being undertaken, and audited at least monthly. </v>
      </c>
      <c r="H44" s="24" t="s">
        <v>304</v>
      </c>
      <c r="I44" s="8" t="s">
        <v>250</v>
      </c>
      <c r="J44" s="8" t="s">
        <v>15</v>
      </c>
      <c r="K44" s="9">
        <f t="shared" si="1"/>
        <v>4</v>
      </c>
      <c r="L44" s="59" t="str">
        <f>IF(K44&gt;15,'Risk Matrix'!$C$30,IF('Risk Register'!K44&gt;9,'Risk Matrix'!$C$29,IF('Risk Register'!K44&gt;4,'Risk Matrix'!$C$28,IF(OR(K44=0, K44=""), "N/A",'Risk Matrix'!$C$27))))</f>
        <v>Managed by routine procedures.  Records should be audited annually.  Work may proceed without specific management oversight.</v>
      </c>
      <c r="M44" s="23" t="str">
        <f t="shared" si="2"/>
        <v>Yes</v>
      </c>
      <c r="N44" s="25"/>
      <c r="O44" s="21"/>
      <c r="P44" s="19"/>
      <c r="Q44" s="7"/>
      <c r="R44" s="72"/>
      <c r="S44" s="72"/>
      <c r="T44" s="72"/>
      <c r="U44" s="72"/>
      <c r="V44" s="7"/>
      <c r="W44" s="7"/>
      <c r="X44" s="7"/>
      <c r="Y44" s="7"/>
      <c r="Z44" s="7"/>
    </row>
    <row r="45" spans="1:26" ht="409.5" x14ac:dyDescent="0.25">
      <c r="A45" s="69" t="s">
        <v>283</v>
      </c>
      <c r="B45" s="29" t="s">
        <v>156</v>
      </c>
      <c r="C45" s="29" t="str">
        <f>IF(B45="Quality",'Risk Information '!$B$34,IF(B45="Environment",'Risk Information '!$B$35,IF(B45="WHS",'Risk Information '!$B$36,)))</f>
        <v>Work Health and Safety Act (QLD) 2013</v>
      </c>
      <c r="D45" s="19" t="s">
        <v>247</v>
      </c>
      <c r="E45" s="19" t="s">
        <v>17</v>
      </c>
      <c r="F45" s="13">
        <f t="shared" si="0"/>
        <v>10</v>
      </c>
      <c r="G45" s="59" t="str">
        <f>IF(F45&gt;15,'Risk Matrix'!$C$30,IF('Risk Register'!F45&gt;9,'Risk Matrix'!$C$29,IF('Risk Register'!F45&gt;4,'Risk Matrix'!$C$28,IF(OR(F45=0, F45=""), "N/A",'Risk Matrix'!$C$27))))</f>
        <v xml:space="preserve">Management attention is needed. Control/preventive measures must be documented, monitored, measured and reviewed periodically for adequacy and compliance. Director must be directly involved and approve in writing for works to proceed.  Responsibility for monitoring and verification activities must be clearly defined and documented.  Corrective action (to be taken when unacceptable variations occur) must be documented.  Records must be maintained to demonstrate that the above requirements are being undertaken, and audited at least monthly. </v>
      </c>
      <c r="H45" s="24" t="s">
        <v>284</v>
      </c>
      <c r="I45" s="8" t="s">
        <v>246</v>
      </c>
      <c r="J45" s="8" t="s">
        <v>17</v>
      </c>
      <c r="K45" s="9">
        <f t="shared" si="1"/>
        <v>6</v>
      </c>
      <c r="L45" s="59" t="str">
        <f>IF(K45&gt;15,'Risk Matrix'!$C$30,IF('Risk Register'!K45&gt;9,'Risk Matrix'!$C$29,IF('Risk Register'!K45&gt;4,'Risk Matrix'!$C$28,IF(OR(K45=0, K45=""), "N/A",'Risk Matrix'!$C$27))))</f>
        <v>Management responsibility must be specified.  Policy and procedures must be documented.  Works cannot proceed without management oversight.  Records should be audited annually.</v>
      </c>
      <c r="M45" s="23" t="str">
        <f t="shared" si="2"/>
        <v>Yes</v>
      </c>
      <c r="N45" s="25"/>
      <c r="O45" s="21"/>
      <c r="P45" s="19"/>
      <c r="Q45" s="7"/>
      <c r="R45" s="72"/>
      <c r="S45" s="72"/>
      <c r="T45" s="72"/>
      <c r="U45" s="72"/>
      <c r="V45" s="7"/>
      <c r="W45" s="7"/>
      <c r="X45" s="7"/>
      <c r="Y45" s="7"/>
      <c r="Z45" s="7"/>
    </row>
    <row r="46" spans="1:26" ht="409.5" x14ac:dyDescent="0.25">
      <c r="A46" s="69" t="s">
        <v>285</v>
      </c>
      <c r="B46" s="29" t="s">
        <v>156</v>
      </c>
      <c r="C46" s="29" t="str">
        <f>IF(B46="Quality",'Risk Information '!$B$34,IF(B46="Environment",'Risk Information '!$B$35,IF(B46="WHS",'Risk Information '!$B$36,)))</f>
        <v>Work Health and Safety Act (QLD) 2013</v>
      </c>
      <c r="D46" s="19" t="s">
        <v>249</v>
      </c>
      <c r="E46" s="19" t="s">
        <v>15</v>
      </c>
      <c r="F46" s="13">
        <f t="shared" si="0"/>
        <v>8</v>
      </c>
      <c r="G46" s="59" t="str">
        <f>IF(F46&gt;15,'Risk Matrix'!$C$30,IF('Risk Register'!F46&gt;9,'Risk Matrix'!$C$29,IF('Risk Register'!F46&gt;4,'Risk Matrix'!$C$28,IF(OR(F46=0, F46=""), "N/A",'Risk Matrix'!$C$27))))</f>
        <v xml:space="preserve">Management attention is needed. Control/preventive measures must be documented, monitored, measured and reviewed periodically for adequacy and compliance. Director must be directly involved and approve in writing for works to proceed.  Responsibility for monitoring and verification activities must be clearly defined and documented.  Corrective action (to be taken when unacceptable variations occur) must be documented.  Records must be maintained to demonstrate that the above requirements are being undertaken, and audited at least monthly. </v>
      </c>
      <c r="H46" s="24" t="s">
        <v>303</v>
      </c>
      <c r="I46" s="8" t="s">
        <v>250</v>
      </c>
      <c r="J46" s="8" t="s">
        <v>15</v>
      </c>
      <c r="K46" s="9">
        <f t="shared" si="1"/>
        <v>4</v>
      </c>
      <c r="L46" s="59" t="str">
        <f>IF(K46&gt;15,'Risk Matrix'!$C$30,IF('Risk Register'!K46&gt;9,'Risk Matrix'!$C$29,IF('Risk Register'!K46&gt;4,'Risk Matrix'!$C$28,IF(OR(K46=0, K46=""), "N/A",'Risk Matrix'!$C$27))))</f>
        <v>Managed by routine procedures.  Records should be audited annually.  Work may proceed without specific management oversight.</v>
      </c>
      <c r="M46" s="23" t="str">
        <f t="shared" si="2"/>
        <v>Yes</v>
      </c>
      <c r="N46" s="25"/>
      <c r="O46" s="21"/>
      <c r="P46" s="19"/>
      <c r="Q46" s="7"/>
      <c r="R46" s="72"/>
      <c r="S46" s="72"/>
      <c r="T46" s="72"/>
      <c r="U46" s="72"/>
      <c r="V46" s="7"/>
      <c r="W46" s="7"/>
      <c r="X46" s="7"/>
      <c r="Y46" s="7"/>
      <c r="Z46" s="7"/>
    </row>
    <row r="47" spans="1:26" ht="409.5" x14ac:dyDescent="0.25">
      <c r="A47" s="69" t="s">
        <v>286</v>
      </c>
      <c r="B47" s="29" t="s">
        <v>156</v>
      </c>
      <c r="C47" s="29" t="str">
        <f>IF(B47="Quality",'Risk Information '!$B$34,IF(B47="Environment",'Risk Information '!$B$35,IF(B47="WHS",'Risk Information '!$B$36,)))</f>
        <v>Work Health and Safety Act (QLD) 2013</v>
      </c>
      <c r="D47" s="19" t="s">
        <v>247</v>
      </c>
      <c r="E47" s="19" t="s">
        <v>15</v>
      </c>
      <c r="F47" s="13">
        <f t="shared" si="0"/>
        <v>20</v>
      </c>
      <c r="G47" s="59" t="str">
        <f>IF(F47&gt;15,'Risk Matrix'!$C$30,IF('Risk Register'!F47&gt;9,'Risk Matrix'!$C$29,IF('Risk Register'!F47&gt;4,'Risk Matrix'!$C$28,IF(OR(F47=0, F47=""), "N/A",'Risk Matrix'!$C$27))))</f>
        <v xml:space="preserve">Management must give this area high priority. Immediate action is required to bring the risk under control.  No extreme risk rating works may be carried out under any circumstances. Control/preventive measures must be documented, monitored, measured and reviewed periodically for adequacy and compliance.  Responsibility for monitoring and verification activities must be clearly defined and documented. Frequency of verification and validation activities (to check that controls are being applied and are effective) must be defined and documented.  Corrective action (to be taken when unacceptable variations occur) must be documented.  Records must be maintained to demonstrate that the above requirements are being undertaken, and audited at least monthly. </v>
      </c>
      <c r="H47" s="24" t="s">
        <v>287</v>
      </c>
      <c r="I47" s="8" t="s">
        <v>249</v>
      </c>
      <c r="J47" s="8" t="s">
        <v>15</v>
      </c>
      <c r="K47" s="9">
        <f t="shared" si="1"/>
        <v>8</v>
      </c>
      <c r="L47" s="59" t="str">
        <f>IF(K47&gt;15,'Risk Matrix'!$C$30,IF('Risk Register'!K47&gt;9,'Risk Matrix'!$C$29,IF('Risk Register'!K47&gt;4,'Risk Matrix'!$C$28,IF(OR(K47=0, K47=""), "N/A",'Risk Matrix'!$C$27))))</f>
        <v>Managed by routine procedures.  Records should be audited annually.  Work may proceed without specific management oversight.</v>
      </c>
      <c r="M47" s="23" t="str">
        <f t="shared" si="2"/>
        <v>Yes</v>
      </c>
      <c r="N47" s="25"/>
      <c r="O47" s="21"/>
      <c r="P47" s="19"/>
      <c r="Q47" s="7"/>
      <c r="R47" s="72"/>
      <c r="S47" s="72"/>
      <c r="T47" s="72"/>
      <c r="U47" s="72"/>
      <c r="V47" s="7"/>
      <c r="W47" s="7"/>
      <c r="X47" s="7"/>
      <c r="Y47" s="7"/>
      <c r="Z47" s="7"/>
    </row>
    <row r="48" spans="1:26" x14ac:dyDescent="0.25">
      <c r="A48" s="56"/>
      <c r="B48" s="29"/>
      <c r="C48" s="29"/>
      <c r="D48" s="19"/>
      <c r="E48" s="19"/>
      <c r="F48" s="13"/>
      <c r="G48" s="59"/>
      <c r="H48" s="34"/>
      <c r="I48" s="8"/>
      <c r="J48" s="8"/>
      <c r="K48" s="9"/>
      <c r="L48" s="59"/>
      <c r="M48" s="13"/>
      <c r="N48" s="12"/>
      <c r="O48" s="12"/>
      <c r="P48" s="12"/>
      <c r="Q48" s="7"/>
      <c r="R48" s="72"/>
      <c r="S48" s="72"/>
      <c r="T48" s="72"/>
      <c r="U48" s="72"/>
      <c r="V48" s="7"/>
      <c r="W48" s="7"/>
      <c r="X48" s="7"/>
      <c r="Y48" s="7"/>
      <c r="Z48" s="7"/>
    </row>
    <row r="49" spans="1:26" x14ac:dyDescent="0.25">
      <c r="A49" s="56"/>
      <c r="B49" s="29"/>
      <c r="C49" s="29"/>
      <c r="D49" s="19"/>
      <c r="E49" s="19"/>
      <c r="F49" s="13"/>
      <c r="G49" s="59"/>
      <c r="H49" s="34"/>
      <c r="I49" s="8"/>
      <c r="J49" s="8"/>
      <c r="K49" s="9"/>
      <c r="L49" s="59"/>
      <c r="M49" s="13"/>
      <c r="N49" s="12"/>
      <c r="O49" s="12"/>
      <c r="P49" s="12"/>
      <c r="Q49" s="7"/>
      <c r="R49" s="13"/>
      <c r="S49" s="12"/>
      <c r="T49" s="12"/>
      <c r="U49" s="12"/>
      <c r="V49" s="7"/>
      <c r="W49" s="7"/>
      <c r="X49" s="7"/>
      <c r="Y49" s="7"/>
      <c r="Z49" s="7"/>
    </row>
    <row r="50" spans="1:26" x14ac:dyDescent="0.25">
      <c r="A50" s="56"/>
      <c r="B50" s="29"/>
      <c r="C50" s="29"/>
      <c r="D50" s="19"/>
      <c r="E50" s="19"/>
      <c r="F50" s="13"/>
      <c r="G50" s="59"/>
      <c r="H50" s="34"/>
      <c r="I50" s="8"/>
      <c r="J50" s="8"/>
      <c r="K50" s="9"/>
      <c r="L50" s="59"/>
      <c r="M50" s="13"/>
      <c r="N50" s="12"/>
      <c r="O50" s="12"/>
      <c r="P50" s="12"/>
      <c r="Q50" s="7"/>
      <c r="R50" s="13"/>
      <c r="S50" s="12"/>
      <c r="T50" s="12"/>
      <c r="U50" s="12"/>
      <c r="V50" s="7"/>
      <c r="W50" s="7"/>
      <c r="X50" s="7"/>
      <c r="Y50" s="7"/>
      <c r="Z50" s="7"/>
    </row>
    <row r="51" spans="1:26" x14ac:dyDescent="0.25">
      <c r="A51" s="56"/>
      <c r="B51" s="29"/>
      <c r="C51" s="29"/>
      <c r="D51" s="19"/>
      <c r="E51" s="19"/>
      <c r="F51" s="13"/>
      <c r="G51" s="59"/>
      <c r="H51" s="34"/>
      <c r="I51" s="8"/>
      <c r="J51" s="8"/>
      <c r="K51" s="9"/>
      <c r="L51" s="59"/>
      <c r="M51" s="13"/>
      <c r="N51" s="12"/>
      <c r="O51" s="12"/>
      <c r="P51" s="12"/>
      <c r="Q51" s="7"/>
      <c r="R51" s="13"/>
      <c r="S51" s="12"/>
      <c r="T51" s="12"/>
      <c r="U51" s="12"/>
      <c r="V51" s="7"/>
      <c r="W51" s="7"/>
      <c r="X51" s="7"/>
      <c r="Y51" s="7"/>
      <c r="Z51" s="7"/>
    </row>
    <row r="52" spans="1:26" x14ac:dyDescent="0.25">
      <c r="A52" s="56"/>
      <c r="B52" s="29"/>
      <c r="C52" s="29"/>
      <c r="D52" s="19"/>
      <c r="E52" s="19"/>
      <c r="F52" s="13"/>
      <c r="G52" s="59"/>
      <c r="H52" s="34"/>
      <c r="I52" s="8"/>
      <c r="J52" s="8"/>
      <c r="K52" s="9"/>
      <c r="L52" s="59"/>
      <c r="M52" s="13"/>
      <c r="N52" s="12"/>
      <c r="O52" s="12"/>
      <c r="P52" s="12"/>
      <c r="Q52" s="7"/>
      <c r="R52" s="13"/>
      <c r="S52" s="12"/>
      <c r="T52" s="12"/>
      <c r="U52" s="12"/>
      <c r="V52" s="7"/>
      <c r="W52" s="7"/>
      <c r="X52" s="7"/>
      <c r="Y52" s="7"/>
      <c r="Z52" s="7"/>
    </row>
    <row r="53" spans="1:26" x14ac:dyDescent="0.25">
      <c r="A53" s="56"/>
      <c r="B53" s="29"/>
      <c r="C53" s="29"/>
      <c r="D53" s="19"/>
      <c r="E53" s="19"/>
      <c r="F53" s="13"/>
      <c r="G53" s="59"/>
      <c r="H53" s="34"/>
      <c r="I53" s="8"/>
      <c r="J53" s="8"/>
      <c r="K53" s="9"/>
      <c r="L53" s="59"/>
      <c r="M53" s="13"/>
      <c r="N53" s="12"/>
      <c r="O53" s="12"/>
      <c r="P53" s="12"/>
      <c r="Q53" s="7"/>
      <c r="R53" s="13"/>
      <c r="S53" s="12"/>
      <c r="T53" s="12"/>
      <c r="U53" s="12"/>
      <c r="V53" s="7"/>
      <c r="W53" s="7"/>
      <c r="X53" s="7"/>
      <c r="Y53" s="7"/>
      <c r="Z53" s="7"/>
    </row>
    <row r="54" spans="1:26" x14ac:dyDescent="0.25">
      <c r="A54" s="56"/>
      <c r="B54" s="29"/>
      <c r="C54" s="29"/>
      <c r="D54" s="19"/>
      <c r="E54" s="19"/>
      <c r="F54" s="13"/>
      <c r="G54" s="59"/>
      <c r="H54" s="34"/>
      <c r="I54" s="8"/>
      <c r="J54" s="8"/>
      <c r="K54" s="9"/>
      <c r="L54" s="59"/>
      <c r="M54" s="13"/>
      <c r="N54" s="12"/>
      <c r="O54" s="12"/>
      <c r="P54" s="12"/>
      <c r="Q54" s="7"/>
      <c r="R54" s="13"/>
      <c r="S54" s="12"/>
      <c r="T54" s="12"/>
      <c r="U54" s="12"/>
      <c r="V54" s="7"/>
      <c r="W54" s="7"/>
      <c r="X54" s="7"/>
      <c r="Y54" s="7"/>
      <c r="Z54" s="7"/>
    </row>
    <row r="55" spans="1:26" x14ac:dyDescent="0.25">
      <c r="A55" s="56"/>
      <c r="B55" s="29"/>
      <c r="C55" s="29"/>
      <c r="D55" s="19"/>
      <c r="E55" s="19"/>
      <c r="F55" s="13"/>
      <c r="G55" s="59"/>
      <c r="H55" s="34"/>
      <c r="I55" s="8"/>
      <c r="J55" s="8"/>
      <c r="K55" s="9"/>
      <c r="L55" s="59"/>
      <c r="M55" s="13"/>
      <c r="N55" s="12"/>
      <c r="O55" s="12"/>
      <c r="P55" s="12"/>
      <c r="Q55" s="7"/>
      <c r="R55" s="13"/>
      <c r="S55" s="12"/>
      <c r="T55" s="12"/>
      <c r="U55" s="12"/>
      <c r="V55" s="7"/>
      <c r="W55" s="7"/>
      <c r="X55" s="7"/>
      <c r="Y55" s="7"/>
      <c r="Z55" s="7"/>
    </row>
    <row r="56" spans="1:26" x14ac:dyDescent="0.25">
      <c r="A56" s="29"/>
      <c r="B56" s="29"/>
      <c r="C56" s="29"/>
      <c r="D56" s="19"/>
      <c r="E56" s="19"/>
      <c r="F56" s="13"/>
      <c r="G56" s="59"/>
      <c r="H56" s="11"/>
      <c r="I56" s="8"/>
      <c r="J56" s="8"/>
      <c r="K56" s="9"/>
      <c r="L56" s="59"/>
      <c r="M56" s="13"/>
      <c r="N56" s="12"/>
      <c r="O56" s="12"/>
      <c r="P56" s="12"/>
      <c r="Q56" s="7"/>
      <c r="R56" s="13"/>
      <c r="S56" s="12"/>
      <c r="T56" s="12"/>
      <c r="U56" s="12"/>
      <c r="V56" s="7"/>
      <c r="W56" s="7"/>
      <c r="X56" s="7"/>
      <c r="Y56" s="7"/>
      <c r="Z56" s="7"/>
    </row>
    <row r="57" spans="1:26" x14ac:dyDescent="0.25">
      <c r="A57" s="29"/>
      <c r="B57" s="29"/>
      <c r="C57" s="29"/>
      <c r="D57" s="19"/>
      <c r="E57" s="19"/>
      <c r="F57" s="13"/>
      <c r="G57" s="59"/>
      <c r="H57" s="10"/>
      <c r="I57" s="8"/>
      <c r="J57" s="8"/>
      <c r="K57" s="9"/>
      <c r="L57" s="59"/>
      <c r="M57" s="13"/>
      <c r="N57" s="20"/>
      <c r="O57" s="12"/>
      <c r="P57" s="12"/>
      <c r="Q57" s="7"/>
      <c r="R57" s="13"/>
      <c r="S57" s="12"/>
      <c r="T57" s="12"/>
      <c r="U57" s="12"/>
      <c r="V57" s="7"/>
      <c r="W57" s="7"/>
      <c r="X57" s="7"/>
      <c r="Y57" s="7"/>
      <c r="Z57" s="7"/>
    </row>
    <row r="58" spans="1:26" x14ac:dyDescent="0.25">
      <c r="A58" s="29"/>
      <c r="B58" s="29"/>
      <c r="C58" s="29"/>
      <c r="D58" s="19"/>
      <c r="E58" s="19"/>
      <c r="F58" s="13"/>
      <c r="G58" s="59"/>
      <c r="H58" s="10"/>
      <c r="I58" s="8"/>
      <c r="J58" s="8"/>
      <c r="K58" s="9"/>
      <c r="L58" s="59"/>
      <c r="M58" s="13"/>
      <c r="N58" s="20"/>
      <c r="O58" s="12"/>
      <c r="P58" s="12"/>
      <c r="Q58" s="7"/>
      <c r="R58" s="13"/>
      <c r="S58" s="12"/>
      <c r="T58" s="12"/>
      <c r="U58" s="12"/>
      <c r="V58" s="7"/>
      <c r="W58" s="7"/>
      <c r="X58" s="7"/>
      <c r="Y58" s="7"/>
      <c r="Z58" s="7"/>
    </row>
    <row r="59" spans="1:26" x14ac:dyDescent="0.25">
      <c r="A59" s="29"/>
      <c r="B59" s="29"/>
      <c r="C59" s="29"/>
      <c r="D59" s="19"/>
      <c r="E59" s="19"/>
      <c r="F59" s="13"/>
      <c r="G59" s="59"/>
      <c r="H59" s="10"/>
      <c r="I59" s="8"/>
      <c r="J59" s="8"/>
      <c r="K59" s="9"/>
      <c r="L59" s="59"/>
      <c r="M59" s="13"/>
      <c r="N59" s="20"/>
      <c r="O59" s="12"/>
      <c r="P59" s="12"/>
      <c r="Q59" s="7"/>
      <c r="R59" s="13"/>
      <c r="S59" s="12"/>
      <c r="T59" s="12"/>
      <c r="U59" s="12"/>
      <c r="V59" s="7"/>
      <c r="W59" s="7"/>
      <c r="X59" s="7"/>
      <c r="Y59" s="7"/>
      <c r="Z59" s="7"/>
    </row>
    <row r="60" spans="1:26" x14ac:dyDescent="0.25">
      <c r="A60" s="29"/>
      <c r="B60" s="29"/>
      <c r="C60" s="29"/>
      <c r="D60" s="19"/>
      <c r="E60" s="19"/>
      <c r="F60" s="13"/>
      <c r="G60" s="59"/>
      <c r="H60" s="10"/>
      <c r="I60" s="8"/>
      <c r="J60" s="8"/>
      <c r="K60" s="9"/>
      <c r="L60" s="59"/>
      <c r="M60" s="13"/>
      <c r="N60" s="20"/>
      <c r="O60" s="12"/>
      <c r="P60" s="12"/>
      <c r="Q60" s="7"/>
      <c r="R60" s="13"/>
      <c r="S60" s="12"/>
      <c r="T60" s="12"/>
      <c r="U60" s="12"/>
      <c r="V60" s="7"/>
      <c r="W60" s="7"/>
      <c r="X60" s="7"/>
      <c r="Y60" s="7"/>
      <c r="Z60" s="7"/>
    </row>
    <row r="61" spans="1:26" x14ac:dyDescent="0.25">
      <c r="A61" s="29"/>
      <c r="B61" s="29"/>
      <c r="C61" s="29"/>
      <c r="D61" s="19"/>
      <c r="E61" s="19"/>
      <c r="F61" s="13"/>
      <c r="G61" s="59"/>
      <c r="H61" s="10"/>
      <c r="I61" s="8"/>
      <c r="J61" s="8"/>
      <c r="K61" s="9"/>
      <c r="L61" s="59"/>
      <c r="M61" s="13"/>
      <c r="N61" s="20"/>
      <c r="O61" s="19"/>
      <c r="P61" s="12"/>
      <c r="Q61" s="7"/>
      <c r="R61" s="13"/>
      <c r="S61" s="12"/>
      <c r="T61" s="12"/>
      <c r="U61" s="12"/>
      <c r="V61" s="7"/>
      <c r="W61" s="7"/>
      <c r="X61" s="7"/>
      <c r="Y61" s="7"/>
      <c r="Z61" s="7"/>
    </row>
    <row r="62" spans="1:26" x14ac:dyDescent="0.25">
      <c r="A62" s="29"/>
      <c r="B62" s="29"/>
      <c r="C62" s="29"/>
      <c r="D62" s="19"/>
      <c r="E62" s="19"/>
      <c r="F62" s="13"/>
      <c r="G62" s="59"/>
      <c r="H62" s="10"/>
      <c r="I62" s="8"/>
      <c r="J62" s="8"/>
      <c r="K62" s="9"/>
      <c r="L62" s="59"/>
      <c r="M62" s="13"/>
      <c r="N62" s="20"/>
      <c r="O62" s="19"/>
      <c r="P62" s="19"/>
      <c r="Q62" s="7"/>
      <c r="R62" s="13"/>
      <c r="S62" s="12"/>
      <c r="T62" s="12"/>
      <c r="U62" s="12"/>
      <c r="V62" s="7"/>
      <c r="W62" s="7"/>
      <c r="X62" s="7"/>
      <c r="Y62" s="7"/>
      <c r="Z62" s="7"/>
    </row>
    <row r="63" spans="1:26" x14ac:dyDescent="0.25">
      <c r="A63" s="29"/>
      <c r="B63" s="29"/>
      <c r="C63" s="29"/>
      <c r="D63" s="19"/>
      <c r="E63" s="19"/>
      <c r="F63" s="13"/>
      <c r="G63" s="59"/>
      <c r="H63" s="10"/>
      <c r="I63" s="8"/>
      <c r="J63" s="8"/>
      <c r="K63" s="9"/>
      <c r="L63" s="59"/>
      <c r="M63" s="13"/>
      <c r="N63" s="20"/>
      <c r="O63" s="19"/>
      <c r="P63" s="19"/>
      <c r="Q63" s="7"/>
      <c r="R63" s="13"/>
      <c r="S63" s="12"/>
      <c r="T63" s="12"/>
      <c r="U63" s="12"/>
      <c r="V63" s="7"/>
      <c r="W63" s="7"/>
      <c r="X63" s="7"/>
      <c r="Y63" s="7"/>
      <c r="Z63" s="7"/>
    </row>
    <row r="64" spans="1:26" x14ac:dyDescent="0.25">
      <c r="A64" s="29"/>
      <c r="B64" s="29"/>
      <c r="C64" s="29"/>
      <c r="D64" s="19"/>
      <c r="E64" s="19"/>
      <c r="F64" s="13"/>
      <c r="G64" s="59"/>
      <c r="H64" s="10"/>
      <c r="I64" s="8"/>
      <c r="J64" s="8"/>
      <c r="K64" s="9"/>
      <c r="L64" s="59"/>
      <c r="M64" s="13"/>
      <c r="N64" s="20"/>
      <c r="O64" s="19"/>
      <c r="P64" s="19"/>
      <c r="Q64" s="7"/>
      <c r="R64" s="13"/>
      <c r="S64" s="12"/>
      <c r="T64" s="12"/>
      <c r="U64" s="12"/>
      <c r="V64" s="7"/>
      <c r="W64" s="7"/>
      <c r="X64" s="7"/>
      <c r="Y64" s="7"/>
      <c r="Z64" s="7"/>
    </row>
    <row r="65" spans="1:16" x14ac:dyDescent="0.25">
      <c r="A65" s="29"/>
      <c r="B65" s="29"/>
      <c r="C65" s="29"/>
      <c r="D65" s="19"/>
      <c r="E65" s="19"/>
      <c r="F65" s="13"/>
      <c r="G65" s="59"/>
      <c r="H65" s="5"/>
      <c r="I65" s="8"/>
      <c r="J65" s="8"/>
      <c r="K65" s="9"/>
      <c r="L65" s="59"/>
      <c r="M65" s="13"/>
      <c r="N65" s="20"/>
      <c r="O65" s="19"/>
      <c r="P65" s="19"/>
    </row>
    <row r="66" spans="1:16" x14ac:dyDescent="0.25">
      <c r="A66" s="29"/>
      <c r="B66" s="29"/>
      <c r="C66" s="29"/>
      <c r="D66" s="19"/>
      <c r="E66" s="19"/>
      <c r="F66" s="13"/>
      <c r="G66" s="59"/>
      <c r="H66" s="5"/>
      <c r="I66" s="8"/>
      <c r="J66" s="8"/>
      <c r="K66" s="9"/>
      <c r="L66" s="59"/>
      <c r="M66" s="13"/>
      <c r="N66" s="20"/>
      <c r="O66" s="19"/>
      <c r="P66" s="19"/>
    </row>
    <row r="67" spans="1:16" x14ac:dyDescent="0.25">
      <c r="A67" s="29"/>
      <c r="B67" s="29"/>
      <c r="C67" s="29"/>
      <c r="D67" s="19"/>
      <c r="E67" s="19"/>
      <c r="F67" s="13"/>
      <c r="G67" s="59"/>
      <c r="H67" s="5"/>
      <c r="I67" s="8"/>
      <c r="J67" s="8"/>
      <c r="K67" s="9"/>
      <c r="L67" s="59"/>
      <c r="M67" s="13"/>
      <c r="N67" s="20"/>
      <c r="O67" s="19"/>
      <c r="P67" s="19"/>
    </row>
    <row r="68" spans="1:16" x14ac:dyDescent="0.25">
      <c r="A68" s="29"/>
      <c r="B68" s="29"/>
      <c r="C68" s="29"/>
      <c r="D68" s="19"/>
      <c r="E68" s="19"/>
      <c r="F68" s="13"/>
      <c r="G68" s="59"/>
      <c r="H68" s="5"/>
      <c r="I68" s="8"/>
      <c r="J68" s="8"/>
      <c r="K68" s="9"/>
      <c r="L68" s="59"/>
      <c r="M68" s="13"/>
      <c r="N68" s="20"/>
      <c r="O68" s="19"/>
      <c r="P68" s="19"/>
    </row>
    <row r="69" spans="1:16" x14ac:dyDescent="0.25">
      <c r="A69" s="29"/>
      <c r="B69" s="29"/>
      <c r="C69" s="29"/>
      <c r="D69" s="19"/>
      <c r="E69" s="19"/>
      <c r="F69" s="13"/>
      <c r="G69" s="59"/>
      <c r="H69" s="5"/>
      <c r="I69" s="8"/>
      <c r="J69" s="8"/>
      <c r="K69" s="9"/>
      <c r="L69" s="59"/>
      <c r="M69" s="13"/>
      <c r="N69" s="20"/>
      <c r="O69" s="19"/>
      <c r="P69" s="19"/>
    </row>
    <row r="70" spans="1:16" x14ac:dyDescent="0.25">
      <c r="A70" s="29"/>
      <c r="B70" s="29"/>
      <c r="C70" s="29"/>
      <c r="D70" s="19"/>
      <c r="E70" s="19"/>
      <c r="F70" s="13"/>
      <c r="G70" s="59"/>
      <c r="H70" s="5"/>
      <c r="I70" s="8"/>
      <c r="J70" s="8"/>
      <c r="K70" s="9"/>
      <c r="L70" s="59"/>
      <c r="M70" s="13"/>
      <c r="N70" s="20"/>
      <c r="O70" s="19"/>
      <c r="P70" s="19"/>
    </row>
    <row r="71" spans="1:16" x14ac:dyDescent="0.25">
      <c r="A71" s="29"/>
      <c r="B71" s="29"/>
      <c r="C71" s="29"/>
      <c r="D71" s="19"/>
      <c r="E71" s="19"/>
      <c r="F71" s="13"/>
      <c r="G71" s="59"/>
      <c r="H71" s="5"/>
      <c r="I71" s="8"/>
      <c r="J71" s="8"/>
      <c r="K71" s="9"/>
      <c r="L71" s="59"/>
      <c r="M71" s="13"/>
      <c r="N71" s="20"/>
      <c r="O71" s="19"/>
      <c r="P71" s="19"/>
    </row>
    <row r="72" spans="1:16" x14ac:dyDescent="0.25">
      <c r="A72" s="29"/>
      <c r="B72" s="29"/>
      <c r="C72" s="29"/>
      <c r="D72" s="19"/>
      <c r="E72" s="19"/>
      <c r="F72" s="13"/>
      <c r="G72" s="59"/>
      <c r="H72" s="5"/>
      <c r="I72" s="8"/>
      <c r="J72" s="8"/>
      <c r="K72" s="9"/>
      <c r="L72" s="59"/>
      <c r="M72" s="13"/>
      <c r="N72" s="20"/>
      <c r="O72" s="21"/>
      <c r="P72" s="19"/>
    </row>
    <row r="73" spans="1:16" x14ac:dyDescent="0.25">
      <c r="A73" s="29"/>
      <c r="B73" s="29"/>
      <c r="C73" s="29"/>
      <c r="D73" s="19"/>
      <c r="E73" s="19"/>
      <c r="F73" s="13"/>
      <c r="G73" s="59"/>
      <c r="H73" s="5"/>
      <c r="I73" s="8"/>
      <c r="J73" s="8"/>
      <c r="K73" s="9"/>
      <c r="L73" s="59"/>
      <c r="M73" s="13"/>
      <c r="N73" s="20"/>
      <c r="O73" s="21"/>
      <c r="P73" s="19"/>
    </row>
    <row r="74" spans="1:16" x14ac:dyDescent="0.25">
      <c r="A74" s="29"/>
      <c r="B74" s="29"/>
      <c r="C74" s="29"/>
      <c r="D74" s="19"/>
      <c r="E74" s="19"/>
      <c r="F74" s="13"/>
      <c r="G74" s="59"/>
      <c r="H74" s="5"/>
      <c r="I74" s="8"/>
      <c r="J74" s="8"/>
      <c r="K74" s="9"/>
      <c r="L74" s="59"/>
      <c r="M74" s="13"/>
      <c r="N74" s="20"/>
      <c r="O74" s="21"/>
      <c r="P74" s="19"/>
    </row>
    <row r="75" spans="1:16" x14ac:dyDescent="0.25">
      <c r="A75" s="29"/>
      <c r="B75" s="29"/>
      <c r="C75" s="29"/>
      <c r="D75" s="19"/>
      <c r="E75" s="19"/>
      <c r="F75" s="13"/>
      <c r="G75" s="59"/>
      <c r="H75" s="5"/>
      <c r="I75" s="8"/>
      <c r="J75" s="8"/>
      <c r="K75" s="9"/>
      <c r="L75" s="59"/>
      <c r="M75" s="13"/>
      <c r="N75" s="20"/>
      <c r="O75" s="21"/>
      <c r="P75" s="19"/>
    </row>
    <row r="76" spans="1:16" x14ac:dyDescent="0.25">
      <c r="A76" s="29"/>
      <c r="B76" s="29"/>
      <c r="C76" s="29"/>
      <c r="D76" s="19"/>
      <c r="E76" s="19"/>
      <c r="F76" s="13"/>
      <c r="G76" s="59"/>
      <c r="H76" s="5"/>
      <c r="I76" s="8"/>
      <c r="J76" s="8"/>
      <c r="K76" s="9"/>
      <c r="L76" s="59"/>
      <c r="M76" s="13"/>
      <c r="N76" s="20"/>
      <c r="O76" s="21"/>
      <c r="P76" s="19"/>
    </row>
    <row r="77" spans="1:16" x14ac:dyDescent="0.25">
      <c r="A77" s="29"/>
      <c r="B77" s="29"/>
      <c r="C77" s="29"/>
      <c r="D77" s="19"/>
      <c r="E77" s="19"/>
      <c r="F77" s="13"/>
      <c r="G77" s="59"/>
      <c r="H77" s="5"/>
      <c r="I77" s="8"/>
      <c r="J77" s="8"/>
      <c r="K77" s="9"/>
      <c r="L77" s="59"/>
      <c r="M77" s="13"/>
      <c r="N77" s="20"/>
      <c r="O77" s="21"/>
      <c r="P77" s="19"/>
    </row>
    <row r="78" spans="1:16" x14ac:dyDescent="0.25">
      <c r="A78" s="29"/>
      <c r="B78" s="29"/>
      <c r="C78" s="29"/>
      <c r="D78" s="19"/>
      <c r="E78" s="19"/>
      <c r="F78" s="13"/>
      <c r="G78" s="59"/>
      <c r="H78" s="5"/>
      <c r="I78" s="8"/>
      <c r="J78" s="8"/>
      <c r="K78" s="9"/>
      <c r="L78" s="59"/>
      <c r="M78" s="13"/>
      <c r="N78" s="20"/>
      <c r="O78" s="21"/>
      <c r="P78" s="19"/>
    </row>
    <row r="79" spans="1:16" x14ac:dyDescent="0.25">
      <c r="A79" s="29"/>
      <c r="B79" s="29"/>
      <c r="C79" s="29"/>
      <c r="D79" s="19"/>
      <c r="E79" s="19"/>
      <c r="F79" s="13"/>
      <c r="G79" s="59"/>
      <c r="H79" s="5"/>
      <c r="I79" s="8"/>
      <c r="J79" s="8"/>
      <c r="K79" s="9"/>
      <c r="L79" s="59"/>
      <c r="M79" s="13"/>
      <c r="N79" s="20"/>
      <c r="O79" s="21"/>
      <c r="P79" s="19"/>
    </row>
    <row r="80" spans="1:16" x14ac:dyDescent="0.25">
      <c r="A80" s="29"/>
      <c r="B80" s="29"/>
      <c r="C80" s="29"/>
      <c r="D80" s="19"/>
      <c r="E80" s="19"/>
      <c r="F80" s="13"/>
      <c r="G80" s="59"/>
      <c r="H80" s="5"/>
      <c r="I80" s="8"/>
      <c r="J80" s="8"/>
      <c r="K80" s="9"/>
      <c r="L80" s="59"/>
      <c r="M80" s="13"/>
      <c r="N80" s="20"/>
      <c r="O80" s="21"/>
      <c r="P80" s="19"/>
    </row>
    <row r="81" spans="1:16" x14ac:dyDescent="0.25">
      <c r="A81" s="29"/>
      <c r="B81" s="29"/>
      <c r="C81" s="29"/>
      <c r="D81" s="19"/>
      <c r="E81" s="19"/>
      <c r="F81" s="13"/>
      <c r="G81" s="59"/>
      <c r="H81" s="5"/>
      <c r="I81" s="8"/>
      <c r="J81" s="8"/>
      <c r="K81" s="9"/>
      <c r="L81" s="59"/>
      <c r="M81" s="13"/>
      <c r="N81" s="20"/>
      <c r="O81" s="21"/>
      <c r="P81" s="19"/>
    </row>
    <row r="82" spans="1:16" x14ac:dyDescent="0.25">
      <c r="A82" s="29"/>
      <c r="B82" s="29"/>
      <c r="C82" s="29"/>
      <c r="D82" s="19"/>
      <c r="E82" s="19"/>
      <c r="F82" s="13"/>
      <c r="G82" s="59"/>
      <c r="H82" s="5"/>
      <c r="I82" s="8"/>
      <c r="J82" s="8"/>
      <c r="K82" s="9"/>
      <c r="L82" s="59"/>
      <c r="M82" s="13"/>
      <c r="N82" s="20"/>
      <c r="O82" s="21"/>
      <c r="P82" s="19"/>
    </row>
    <row r="83" spans="1:16" x14ac:dyDescent="0.25">
      <c r="A83" s="29"/>
      <c r="B83" s="29"/>
      <c r="C83" s="29"/>
      <c r="D83" s="19"/>
      <c r="E83" s="19"/>
      <c r="F83" s="13"/>
      <c r="G83" s="59"/>
      <c r="H83" s="5"/>
      <c r="I83" s="8"/>
      <c r="J83" s="8"/>
      <c r="K83" s="9"/>
      <c r="L83" s="59"/>
      <c r="M83" s="13"/>
      <c r="N83" s="20"/>
      <c r="O83" s="21"/>
      <c r="P83" s="19"/>
    </row>
    <row r="84" spans="1:16" x14ac:dyDescent="0.25">
      <c r="A84" s="29"/>
      <c r="B84" s="29"/>
      <c r="C84" s="29"/>
      <c r="D84" s="19"/>
      <c r="E84" s="19"/>
      <c r="F84" s="13"/>
      <c r="G84" s="59"/>
      <c r="H84" s="5"/>
      <c r="I84" s="8"/>
      <c r="J84" s="8"/>
      <c r="K84" s="9"/>
      <c r="L84" s="59"/>
      <c r="M84" s="13"/>
      <c r="N84" s="20"/>
      <c r="O84" s="21"/>
      <c r="P84" s="19"/>
    </row>
    <row r="85" spans="1:16" x14ac:dyDescent="0.25">
      <c r="A85" s="29"/>
      <c r="B85" s="29"/>
      <c r="C85" s="29"/>
      <c r="D85" s="19"/>
      <c r="E85" s="19"/>
      <c r="F85" s="13"/>
      <c r="G85" s="59"/>
      <c r="H85" s="24"/>
      <c r="I85" s="8"/>
      <c r="J85" s="8"/>
      <c r="K85" s="9"/>
      <c r="L85" s="59"/>
      <c r="M85" s="23"/>
      <c r="N85" s="25"/>
      <c r="O85" s="21"/>
      <c r="P85" s="19"/>
    </row>
    <row r="86" spans="1:16" x14ac:dyDescent="0.25">
      <c r="A86" s="69"/>
      <c r="B86" s="29"/>
      <c r="C86" s="29"/>
      <c r="D86" s="19"/>
      <c r="E86" s="19"/>
      <c r="F86" s="13"/>
      <c r="G86" s="59"/>
      <c r="H86" s="24"/>
      <c r="I86" s="8"/>
      <c r="J86" s="8"/>
      <c r="K86" s="9"/>
      <c r="L86" s="59"/>
      <c r="M86" s="23"/>
      <c r="N86" s="25"/>
      <c r="O86" s="21"/>
      <c r="P86" s="19"/>
    </row>
    <row r="87" spans="1:16" x14ac:dyDescent="0.25">
      <c r="A87" s="69"/>
      <c r="B87" s="29"/>
      <c r="C87" s="29"/>
      <c r="D87" s="19"/>
      <c r="E87" s="19"/>
      <c r="F87" s="13"/>
      <c r="G87" s="59"/>
      <c r="H87" s="24"/>
      <c r="I87" s="8"/>
      <c r="J87" s="8"/>
      <c r="K87" s="9"/>
      <c r="L87" s="59"/>
      <c r="M87" s="23"/>
      <c r="N87" s="25"/>
      <c r="O87" s="21"/>
      <c r="P87" s="19"/>
    </row>
    <row r="88" spans="1:16" x14ac:dyDescent="0.25">
      <c r="A88" s="69"/>
      <c r="B88" s="29"/>
      <c r="C88" s="29"/>
      <c r="D88" s="19"/>
      <c r="E88" s="19"/>
      <c r="F88" s="13"/>
      <c r="G88" s="59"/>
      <c r="H88" s="24"/>
      <c r="I88" s="8"/>
      <c r="J88" s="8"/>
      <c r="K88" s="9"/>
      <c r="L88" s="59"/>
      <c r="M88" s="23"/>
      <c r="N88" s="25"/>
      <c r="O88" s="21"/>
      <c r="P88" s="19"/>
    </row>
    <row r="89" spans="1:16" x14ac:dyDescent="0.25">
      <c r="A89" s="69"/>
      <c r="B89" s="29"/>
      <c r="C89" s="29"/>
      <c r="D89" s="19"/>
      <c r="E89" s="19"/>
      <c r="F89" s="13"/>
      <c r="G89" s="59"/>
      <c r="H89" s="24"/>
      <c r="I89" s="8"/>
      <c r="J89" s="8"/>
      <c r="K89" s="9"/>
      <c r="L89" s="59"/>
      <c r="M89" s="23"/>
      <c r="N89" s="25"/>
      <c r="O89" s="21"/>
      <c r="P89" s="19"/>
    </row>
    <row r="90" spans="1:16" x14ac:dyDescent="0.25">
      <c r="A90" s="69"/>
      <c r="B90" s="29"/>
      <c r="C90" s="29"/>
      <c r="D90" s="19"/>
      <c r="E90" s="19"/>
      <c r="F90" s="13"/>
      <c r="G90" s="59"/>
      <c r="H90" s="24"/>
      <c r="I90" s="8"/>
      <c r="J90" s="8"/>
      <c r="K90" s="9"/>
      <c r="L90" s="59"/>
      <c r="M90" s="23"/>
      <c r="N90" s="25"/>
      <c r="O90" s="21"/>
      <c r="P90" s="19"/>
    </row>
    <row r="91" spans="1:16" x14ac:dyDescent="0.25">
      <c r="A91" s="69"/>
      <c r="B91" s="29"/>
      <c r="C91" s="29"/>
      <c r="D91" s="19"/>
      <c r="E91" s="19"/>
      <c r="F91" s="13"/>
      <c r="G91" s="59"/>
      <c r="H91" s="24"/>
      <c r="I91" s="8"/>
      <c r="J91" s="8"/>
      <c r="K91" s="9"/>
      <c r="L91" s="59"/>
      <c r="M91" s="23"/>
      <c r="N91" s="25"/>
      <c r="O91" s="21"/>
      <c r="P91" s="19"/>
    </row>
    <row r="92" spans="1:16" x14ac:dyDescent="0.25">
      <c r="A92" s="69"/>
      <c r="B92" s="29"/>
      <c r="C92" s="29"/>
      <c r="D92" s="19"/>
      <c r="E92" s="19"/>
      <c r="F92" s="13"/>
      <c r="G92" s="59"/>
      <c r="H92" s="24"/>
      <c r="I92" s="8"/>
      <c r="J92" s="8"/>
      <c r="K92" s="9"/>
      <c r="L92" s="59"/>
      <c r="M92" s="23"/>
      <c r="N92" s="25"/>
      <c r="O92" s="21"/>
      <c r="P92" s="19"/>
    </row>
    <row r="93" spans="1:16" x14ac:dyDescent="0.25">
      <c r="A93" s="69"/>
      <c r="B93" s="29"/>
      <c r="C93" s="29"/>
      <c r="D93" s="19"/>
      <c r="E93" s="19"/>
      <c r="F93" s="13"/>
      <c r="G93" s="59"/>
      <c r="H93" s="24"/>
      <c r="I93" s="8"/>
      <c r="J93" s="8"/>
      <c r="K93" s="9"/>
      <c r="L93" s="59"/>
      <c r="M93" s="23"/>
      <c r="N93" s="25"/>
      <c r="O93" s="21"/>
      <c r="P93" s="19"/>
    </row>
  </sheetData>
  <conditionalFormatting sqref="K56">
    <cfRule type="cellIs" dxfId="1826" priority="9838" operator="between">
      <formula>16</formula>
      <formula>25</formula>
    </cfRule>
    <cfRule type="cellIs" dxfId="1825" priority="9839" operator="between">
      <formula>10</formula>
      <formula>15</formula>
    </cfRule>
    <cfRule type="cellIs" dxfId="1824" priority="9840" operator="between">
      <formula>5</formula>
      <formula>9</formula>
    </cfRule>
    <cfRule type="cellIs" dxfId="1823" priority="9841" operator="between">
      <formula>0</formula>
      <formula>4</formula>
    </cfRule>
  </conditionalFormatting>
  <conditionalFormatting sqref="B56">
    <cfRule type="containsText" dxfId="1822" priority="9836" operator="containsText" text="WHS">
      <formula>NOT(ISERROR(SEARCH("WHS",B56)))</formula>
    </cfRule>
    <cfRule type="containsText" dxfId="1821" priority="9837" operator="containsText" text="Environment">
      <formula>NOT(ISERROR(SEARCH("Environment",B56)))</formula>
    </cfRule>
  </conditionalFormatting>
  <conditionalFormatting sqref="B56">
    <cfRule type="containsText" dxfId="1820" priority="9835" operator="containsText" text="Quality">
      <formula>NOT(ISERROR(SEARCH("Quality",B56)))</formula>
    </cfRule>
  </conditionalFormatting>
  <conditionalFormatting sqref="F56">
    <cfRule type="cellIs" dxfId="1819" priority="9842" operator="between">
      <formula>16</formula>
      <formula>25</formula>
    </cfRule>
    <cfRule type="cellIs" dxfId="1818" priority="9843" operator="between">
      <formula>10</formula>
      <formula>15</formula>
    </cfRule>
    <cfRule type="cellIs" dxfId="1817" priority="9844" operator="between">
      <formula>5</formula>
      <formula>9</formula>
    </cfRule>
    <cfRule type="cellIs" dxfId="1816" priority="9845" operator="between">
      <formula>0</formula>
      <formula>4</formula>
    </cfRule>
  </conditionalFormatting>
  <conditionalFormatting sqref="K57">
    <cfRule type="cellIs" dxfId="1815" priority="9827" operator="between">
      <formula>16</formula>
      <formula>25</formula>
    </cfRule>
    <cfRule type="cellIs" dxfId="1814" priority="9828" operator="between">
      <formula>10</formula>
      <formula>15</formula>
    </cfRule>
    <cfRule type="cellIs" dxfId="1813" priority="9829" operator="between">
      <formula>5</formula>
      <formula>9</formula>
    </cfRule>
    <cfRule type="cellIs" dxfId="1812" priority="9830" operator="between">
      <formula>0</formula>
      <formula>4</formula>
    </cfRule>
  </conditionalFormatting>
  <conditionalFormatting sqref="B57">
    <cfRule type="containsText" dxfId="1811" priority="9825" operator="containsText" text="WHS">
      <formula>NOT(ISERROR(SEARCH("WHS",B57)))</formula>
    </cfRule>
    <cfRule type="containsText" dxfId="1810" priority="9826" operator="containsText" text="Environment">
      <formula>NOT(ISERROR(SEARCH("Environment",B57)))</formula>
    </cfRule>
  </conditionalFormatting>
  <conditionalFormatting sqref="B57">
    <cfRule type="containsText" dxfId="1809" priority="9824" operator="containsText" text="Quality">
      <formula>NOT(ISERROR(SEARCH("Quality",B57)))</formula>
    </cfRule>
  </conditionalFormatting>
  <conditionalFormatting sqref="F57">
    <cfRule type="cellIs" dxfId="1808" priority="9831" operator="between">
      <formula>16</formula>
      <formula>25</formula>
    </cfRule>
    <cfRule type="cellIs" dxfId="1807" priority="9832" operator="between">
      <formula>10</formula>
      <formula>15</formula>
    </cfRule>
    <cfRule type="cellIs" dxfId="1806" priority="9833" operator="between">
      <formula>5</formula>
      <formula>9</formula>
    </cfRule>
    <cfRule type="cellIs" dxfId="1805" priority="9834" operator="between">
      <formula>0</formula>
      <formula>4</formula>
    </cfRule>
  </conditionalFormatting>
  <conditionalFormatting sqref="K58">
    <cfRule type="cellIs" dxfId="1804" priority="9816" operator="between">
      <formula>16</formula>
      <formula>25</formula>
    </cfRule>
    <cfRule type="cellIs" dxfId="1803" priority="9817" operator="between">
      <formula>10</formula>
      <formula>15</formula>
    </cfRule>
    <cfRule type="cellIs" dxfId="1802" priority="9818" operator="between">
      <formula>5</formula>
      <formula>9</formula>
    </cfRule>
    <cfRule type="cellIs" dxfId="1801" priority="9819" operator="between">
      <formula>0</formula>
      <formula>4</formula>
    </cfRule>
  </conditionalFormatting>
  <conditionalFormatting sqref="B58">
    <cfRule type="containsText" dxfId="1800" priority="9814" operator="containsText" text="WHS">
      <formula>NOT(ISERROR(SEARCH("WHS",B58)))</formula>
    </cfRule>
    <cfRule type="containsText" dxfId="1799" priority="9815" operator="containsText" text="Environment">
      <formula>NOT(ISERROR(SEARCH("Environment",B58)))</formula>
    </cfRule>
  </conditionalFormatting>
  <conditionalFormatting sqref="B58">
    <cfRule type="containsText" dxfId="1798" priority="9813" operator="containsText" text="Quality">
      <formula>NOT(ISERROR(SEARCH("Quality",B58)))</formula>
    </cfRule>
  </conditionalFormatting>
  <conditionalFormatting sqref="F58">
    <cfRule type="cellIs" dxfId="1797" priority="9820" operator="between">
      <formula>16</formula>
      <formula>25</formula>
    </cfRule>
    <cfRule type="cellIs" dxfId="1796" priority="9821" operator="between">
      <formula>10</formula>
      <formula>15</formula>
    </cfRule>
    <cfRule type="cellIs" dxfId="1795" priority="9822" operator="between">
      <formula>5</formula>
      <formula>9</formula>
    </cfRule>
    <cfRule type="cellIs" dxfId="1794" priority="9823" operator="between">
      <formula>0</formula>
      <formula>4</formula>
    </cfRule>
  </conditionalFormatting>
  <conditionalFormatting sqref="K59">
    <cfRule type="cellIs" dxfId="1793" priority="9805" operator="between">
      <formula>16</formula>
      <formula>25</formula>
    </cfRule>
    <cfRule type="cellIs" dxfId="1792" priority="9806" operator="between">
      <formula>10</formula>
      <formula>15</formula>
    </cfRule>
    <cfRule type="cellIs" dxfId="1791" priority="9807" operator="between">
      <formula>5</formula>
      <formula>9</formula>
    </cfRule>
    <cfRule type="cellIs" dxfId="1790" priority="9808" operator="between">
      <formula>0</formula>
      <formula>4</formula>
    </cfRule>
  </conditionalFormatting>
  <conditionalFormatting sqref="B59">
    <cfRule type="containsText" dxfId="1789" priority="9803" operator="containsText" text="WHS">
      <formula>NOT(ISERROR(SEARCH("WHS",B59)))</formula>
    </cfRule>
    <cfRule type="containsText" dxfId="1788" priority="9804" operator="containsText" text="Environment">
      <formula>NOT(ISERROR(SEARCH("Environment",B59)))</formula>
    </cfRule>
  </conditionalFormatting>
  <conditionalFormatting sqref="B59">
    <cfRule type="containsText" dxfId="1787" priority="9802" operator="containsText" text="Quality">
      <formula>NOT(ISERROR(SEARCH("Quality",B59)))</formula>
    </cfRule>
  </conditionalFormatting>
  <conditionalFormatting sqref="F59">
    <cfRule type="cellIs" dxfId="1786" priority="9809" operator="between">
      <formula>16</formula>
      <formula>25</formula>
    </cfRule>
    <cfRule type="cellIs" dxfId="1785" priority="9810" operator="between">
      <formula>10</formula>
      <formula>15</formula>
    </cfRule>
    <cfRule type="cellIs" dxfId="1784" priority="9811" operator="between">
      <formula>5</formula>
      <formula>9</formula>
    </cfRule>
    <cfRule type="cellIs" dxfId="1783" priority="9812" operator="between">
      <formula>0</formula>
      <formula>4</formula>
    </cfRule>
  </conditionalFormatting>
  <conditionalFormatting sqref="K60">
    <cfRule type="cellIs" dxfId="1782" priority="9794" operator="between">
      <formula>16</formula>
      <formula>25</formula>
    </cfRule>
    <cfRule type="cellIs" dxfId="1781" priority="9795" operator="between">
      <formula>10</formula>
      <formula>15</formula>
    </cfRule>
    <cfRule type="cellIs" dxfId="1780" priority="9796" operator="between">
      <formula>5</formula>
      <formula>9</formula>
    </cfRule>
    <cfRule type="cellIs" dxfId="1779" priority="9797" operator="between">
      <formula>0</formula>
      <formula>4</formula>
    </cfRule>
  </conditionalFormatting>
  <conditionalFormatting sqref="B60">
    <cfRule type="containsText" dxfId="1778" priority="9792" operator="containsText" text="WHS">
      <formula>NOT(ISERROR(SEARCH("WHS",B60)))</formula>
    </cfRule>
    <cfRule type="containsText" dxfId="1777" priority="9793" operator="containsText" text="Environment">
      <formula>NOT(ISERROR(SEARCH("Environment",B60)))</formula>
    </cfRule>
  </conditionalFormatting>
  <conditionalFormatting sqref="B60">
    <cfRule type="containsText" dxfId="1776" priority="9791" operator="containsText" text="Quality">
      <formula>NOT(ISERROR(SEARCH("Quality",B60)))</formula>
    </cfRule>
  </conditionalFormatting>
  <conditionalFormatting sqref="F60">
    <cfRule type="cellIs" dxfId="1775" priority="9798" operator="between">
      <formula>16</formula>
      <formula>25</formula>
    </cfRule>
    <cfRule type="cellIs" dxfId="1774" priority="9799" operator="between">
      <formula>10</formula>
      <formula>15</formula>
    </cfRule>
    <cfRule type="cellIs" dxfId="1773" priority="9800" operator="between">
      <formula>5</formula>
      <formula>9</formula>
    </cfRule>
    <cfRule type="cellIs" dxfId="1772" priority="9801" operator="between">
      <formula>0</formula>
      <formula>4</formula>
    </cfRule>
  </conditionalFormatting>
  <conditionalFormatting sqref="K61">
    <cfRule type="cellIs" dxfId="1771" priority="9783" operator="between">
      <formula>16</formula>
      <formula>25</formula>
    </cfRule>
    <cfRule type="cellIs" dxfId="1770" priority="9784" operator="between">
      <formula>10</formula>
      <formula>15</formula>
    </cfRule>
    <cfRule type="cellIs" dxfId="1769" priority="9785" operator="between">
      <formula>5</formula>
      <formula>9</formula>
    </cfRule>
    <cfRule type="cellIs" dxfId="1768" priority="9786" operator="between">
      <formula>0</formula>
      <formula>4</formula>
    </cfRule>
  </conditionalFormatting>
  <conditionalFormatting sqref="B61">
    <cfRule type="containsText" dxfId="1767" priority="9781" operator="containsText" text="WHS">
      <formula>NOT(ISERROR(SEARCH("WHS",B61)))</formula>
    </cfRule>
    <cfRule type="containsText" dxfId="1766" priority="9782" operator="containsText" text="Environment">
      <formula>NOT(ISERROR(SEARCH("Environment",B61)))</formula>
    </cfRule>
  </conditionalFormatting>
  <conditionalFormatting sqref="B61">
    <cfRule type="containsText" dxfId="1765" priority="9780" operator="containsText" text="Quality">
      <formula>NOT(ISERROR(SEARCH("Quality",B61)))</formula>
    </cfRule>
  </conditionalFormatting>
  <conditionalFormatting sqref="F61">
    <cfRule type="cellIs" dxfId="1764" priority="9787" operator="between">
      <formula>16</formula>
      <formula>25</formula>
    </cfRule>
    <cfRule type="cellIs" dxfId="1763" priority="9788" operator="between">
      <formula>10</formula>
      <formula>15</formula>
    </cfRule>
    <cfRule type="cellIs" dxfId="1762" priority="9789" operator="between">
      <formula>5</formula>
      <formula>9</formula>
    </cfRule>
    <cfRule type="cellIs" dxfId="1761" priority="9790" operator="between">
      <formula>0</formula>
      <formula>4</formula>
    </cfRule>
  </conditionalFormatting>
  <conditionalFormatting sqref="K62">
    <cfRule type="cellIs" dxfId="1760" priority="9772" operator="between">
      <formula>16</formula>
      <formula>25</formula>
    </cfRule>
    <cfRule type="cellIs" dxfId="1759" priority="9773" operator="between">
      <formula>10</formula>
      <formula>15</formula>
    </cfRule>
    <cfRule type="cellIs" dxfId="1758" priority="9774" operator="between">
      <formula>5</formula>
      <formula>9</formula>
    </cfRule>
    <cfRule type="cellIs" dxfId="1757" priority="9775" operator="between">
      <formula>0</formula>
      <formula>4</formula>
    </cfRule>
  </conditionalFormatting>
  <conditionalFormatting sqref="B62">
    <cfRule type="containsText" dxfId="1756" priority="9770" operator="containsText" text="WHS">
      <formula>NOT(ISERROR(SEARCH("WHS",B62)))</formula>
    </cfRule>
    <cfRule type="containsText" dxfId="1755" priority="9771" operator="containsText" text="Environment">
      <formula>NOT(ISERROR(SEARCH("Environment",B62)))</formula>
    </cfRule>
  </conditionalFormatting>
  <conditionalFormatting sqref="B62">
    <cfRule type="containsText" dxfId="1754" priority="9769" operator="containsText" text="Quality">
      <formula>NOT(ISERROR(SEARCH("Quality",B62)))</formula>
    </cfRule>
  </conditionalFormatting>
  <conditionalFormatting sqref="F62">
    <cfRule type="cellIs" dxfId="1753" priority="9776" operator="between">
      <formula>16</formula>
      <formula>25</formula>
    </cfRule>
    <cfRule type="cellIs" dxfId="1752" priority="9777" operator="between">
      <formula>10</formula>
      <formula>15</formula>
    </cfRule>
    <cfRule type="cellIs" dxfId="1751" priority="9778" operator="between">
      <formula>5</formula>
      <formula>9</formula>
    </cfRule>
    <cfRule type="cellIs" dxfId="1750" priority="9779" operator="between">
      <formula>0</formula>
      <formula>4</formula>
    </cfRule>
  </conditionalFormatting>
  <conditionalFormatting sqref="K63">
    <cfRule type="cellIs" dxfId="1749" priority="9761" operator="between">
      <formula>16</formula>
      <formula>25</formula>
    </cfRule>
    <cfRule type="cellIs" dxfId="1748" priority="9762" operator="between">
      <formula>10</formula>
      <formula>15</formula>
    </cfRule>
    <cfRule type="cellIs" dxfId="1747" priority="9763" operator="between">
      <formula>5</formula>
      <formula>9</formula>
    </cfRule>
    <cfRule type="cellIs" dxfId="1746" priority="9764" operator="between">
      <formula>0</formula>
      <formula>4</formula>
    </cfRule>
  </conditionalFormatting>
  <conditionalFormatting sqref="B63">
    <cfRule type="containsText" dxfId="1745" priority="9759" operator="containsText" text="WHS">
      <formula>NOT(ISERROR(SEARCH("WHS",B63)))</formula>
    </cfRule>
    <cfRule type="containsText" dxfId="1744" priority="9760" operator="containsText" text="Environment">
      <formula>NOT(ISERROR(SEARCH("Environment",B63)))</formula>
    </cfRule>
  </conditionalFormatting>
  <conditionalFormatting sqref="B63">
    <cfRule type="containsText" dxfId="1743" priority="9758" operator="containsText" text="Quality">
      <formula>NOT(ISERROR(SEARCH("Quality",B63)))</formula>
    </cfRule>
  </conditionalFormatting>
  <conditionalFormatting sqref="F63">
    <cfRule type="cellIs" dxfId="1742" priority="9765" operator="between">
      <formula>16</formula>
      <formula>25</formula>
    </cfRule>
    <cfRule type="cellIs" dxfId="1741" priority="9766" operator="between">
      <formula>10</formula>
      <formula>15</formula>
    </cfRule>
    <cfRule type="cellIs" dxfId="1740" priority="9767" operator="between">
      <formula>5</formula>
      <formula>9</formula>
    </cfRule>
    <cfRule type="cellIs" dxfId="1739" priority="9768" operator="between">
      <formula>0</formula>
      <formula>4</formula>
    </cfRule>
  </conditionalFormatting>
  <conditionalFormatting sqref="K64">
    <cfRule type="cellIs" dxfId="1738" priority="9750" operator="between">
      <formula>16</formula>
      <formula>25</formula>
    </cfRule>
    <cfRule type="cellIs" dxfId="1737" priority="9751" operator="between">
      <formula>10</formula>
      <formula>15</formula>
    </cfRule>
    <cfRule type="cellIs" dxfId="1736" priority="9752" operator="between">
      <formula>5</formula>
      <formula>9</formula>
    </cfRule>
    <cfRule type="cellIs" dxfId="1735" priority="9753" operator="between">
      <formula>0</formula>
      <formula>4</formula>
    </cfRule>
  </conditionalFormatting>
  <conditionalFormatting sqref="B64">
    <cfRule type="containsText" dxfId="1734" priority="9748" operator="containsText" text="WHS">
      <formula>NOT(ISERROR(SEARCH("WHS",B64)))</formula>
    </cfRule>
    <cfRule type="containsText" dxfId="1733" priority="9749" operator="containsText" text="Environment">
      <formula>NOT(ISERROR(SEARCH("Environment",B64)))</formula>
    </cfRule>
  </conditionalFormatting>
  <conditionalFormatting sqref="B64">
    <cfRule type="containsText" dxfId="1732" priority="9747" operator="containsText" text="Quality">
      <formula>NOT(ISERROR(SEARCH("Quality",B64)))</formula>
    </cfRule>
  </conditionalFormatting>
  <conditionalFormatting sqref="F64">
    <cfRule type="cellIs" dxfId="1731" priority="9754" operator="between">
      <formula>16</formula>
      <formula>25</formula>
    </cfRule>
    <cfRule type="cellIs" dxfId="1730" priority="9755" operator="between">
      <formula>10</formula>
      <formula>15</formula>
    </cfRule>
    <cfRule type="cellIs" dxfId="1729" priority="9756" operator="between">
      <formula>5</formula>
      <formula>9</formula>
    </cfRule>
    <cfRule type="cellIs" dxfId="1728" priority="9757" operator="between">
      <formula>0</formula>
      <formula>4</formula>
    </cfRule>
  </conditionalFormatting>
  <conditionalFormatting sqref="K65">
    <cfRule type="cellIs" dxfId="1727" priority="9739" operator="between">
      <formula>16</formula>
      <formula>25</formula>
    </cfRule>
    <cfRule type="cellIs" dxfId="1726" priority="9740" operator="between">
      <formula>10</formula>
      <formula>15</formula>
    </cfRule>
    <cfRule type="cellIs" dxfId="1725" priority="9741" operator="between">
      <formula>5</formula>
      <formula>9</formula>
    </cfRule>
    <cfRule type="cellIs" dxfId="1724" priority="9742" operator="between">
      <formula>0</formula>
      <formula>4</formula>
    </cfRule>
  </conditionalFormatting>
  <conditionalFormatting sqref="B65">
    <cfRule type="containsText" dxfId="1723" priority="9737" operator="containsText" text="WHS">
      <formula>NOT(ISERROR(SEARCH("WHS",B65)))</formula>
    </cfRule>
    <cfRule type="containsText" dxfId="1722" priority="9738" operator="containsText" text="Environment">
      <formula>NOT(ISERROR(SEARCH("Environment",B65)))</formula>
    </cfRule>
  </conditionalFormatting>
  <conditionalFormatting sqref="B65">
    <cfRule type="containsText" dxfId="1721" priority="9736" operator="containsText" text="Quality">
      <formula>NOT(ISERROR(SEARCH("Quality",B65)))</formula>
    </cfRule>
  </conditionalFormatting>
  <conditionalFormatting sqref="F65">
    <cfRule type="cellIs" dxfId="1720" priority="9743" operator="between">
      <formula>16</formula>
      <formula>25</formula>
    </cfRule>
    <cfRule type="cellIs" dxfId="1719" priority="9744" operator="between">
      <formula>10</formula>
      <formula>15</formula>
    </cfRule>
    <cfRule type="cellIs" dxfId="1718" priority="9745" operator="between">
      <formula>5</formula>
      <formula>9</formula>
    </cfRule>
    <cfRule type="cellIs" dxfId="1717" priority="9746" operator="between">
      <formula>0</formula>
      <formula>4</formula>
    </cfRule>
  </conditionalFormatting>
  <conditionalFormatting sqref="K66">
    <cfRule type="cellIs" dxfId="1716" priority="9728" operator="between">
      <formula>16</formula>
      <formula>25</formula>
    </cfRule>
    <cfRule type="cellIs" dxfId="1715" priority="9729" operator="between">
      <formula>10</formula>
      <formula>15</formula>
    </cfRule>
    <cfRule type="cellIs" dxfId="1714" priority="9730" operator="between">
      <formula>5</formula>
      <formula>9</formula>
    </cfRule>
    <cfRule type="cellIs" dxfId="1713" priority="9731" operator="between">
      <formula>0</formula>
      <formula>4</formula>
    </cfRule>
  </conditionalFormatting>
  <conditionalFormatting sqref="B66">
    <cfRule type="containsText" dxfId="1712" priority="9726" operator="containsText" text="WHS">
      <formula>NOT(ISERROR(SEARCH("WHS",B66)))</formula>
    </cfRule>
    <cfRule type="containsText" dxfId="1711" priority="9727" operator="containsText" text="Environment">
      <formula>NOT(ISERROR(SEARCH("Environment",B66)))</formula>
    </cfRule>
  </conditionalFormatting>
  <conditionalFormatting sqref="B66">
    <cfRule type="containsText" dxfId="1710" priority="9725" operator="containsText" text="Quality">
      <formula>NOT(ISERROR(SEARCH("Quality",B66)))</formula>
    </cfRule>
  </conditionalFormatting>
  <conditionalFormatting sqref="F66">
    <cfRule type="cellIs" dxfId="1709" priority="9732" operator="between">
      <formula>16</formula>
      <formula>25</formula>
    </cfRule>
    <cfRule type="cellIs" dxfId="1708" priority="9733" operator="between">
      <formula>10</formula>
      <formula>15</formula>
    </cfRule>
    <cfRule type="cellIs" dxfId="1707" priority="9734" operator="between">
      <formula>5</formula>
      <formula>9</formula>
    </cfRule>
    <cfRule type="cellIs" dxfId="1706" priority="9735" operator="between">
      <formula>0</formula>
      <formula>4</formula>
    </cfRule>
  </conditionalFormatting>
  <conditionalFormatting sqref="K67">
    <cfRule type="cellIs" dxfId="1705" priority="9717" operator="between">
      <formula>16</formula>
      <formula>25</formula>
    </cfRule>
    <cfRule type="cellIs" dxfId="1704" priority="9718" operator="between">
      <formula>10</formula>
      <formula>15</formula>
    </cfRule>
    <cfRule type="cellIs" dxfId="1703" priority="9719" operator="between">
      <formula>5</formula>
      <formula>9</formula>
    </cfRule>
    <cfRule type="cellIs" dxfId="1702" priority="9720" operator="between">
      <formula>0</formula>
      <formula>4</formula>
    </cfRule>
  </conditionalFormatting>
  <conditionalFormatting sqref="B67">
    <cfRule type="containsText" dxfId="1701" priority="9715" operator="containsText" text="WHS">
      <formula>NOT(ISERROR(SEARCH("WHS",B67)))</formula>
    </cfRule>
    <cfRule type="containsText" dxfId="1700" priority="9716" operator="containsText" text="Environment">
      <formula>NOT(ISERROR(SEARCH("Environment",B67)))</formula>
    </cfRule>
  </conditionalFormatting>
  <conditionalFormatting sqref="B67">
    <cfRule type="containsText" dxfId="1699" priority="9714" operator="containsText" text="Quality">
      <formula>NOT(ISERROR(SEARCH("Quality",B67)))</formula>
    </cfRule>
  </conditionalFormatting>
  <conditionalFormatting sqref="F67">
    <cfRule type="cellIs" dxfId="1698" priority="9721" operator="between">
      <formula>16</formula>
      <formula>25</formula>
    </cfRule>
    <cfRule type="cellIs" dxfId="1697" priority="9722" operator="between">
      <formula>10</formula>
      <formula>15</formula>
    </cfRule>
    <cfRule type="cellIs" dxfId="1696" priority="9723" operator="between">
      <formula>5</formula>
      <formula>9</formula>
    </cfRule>
    <cfRule type="cellIs" dxfId="1695" priority="9724" operator="between">
      <formula>0</formula>
      <formula>4</formula>
    </cfRule>
  </conditionalFormatting>
  <conditionalFormatting sqref="K68">
    <cfRule type="cellIs" dxfId="1694" priority="9706" operator="between">
      <formula>16</formula>
      <formula>25</formula>
    </cfRule>
    <cfRule type="cellIs" dxfId="1693" priority="9707" operator="between">
      <formula>10</formula>
      <formula>15</formula>
    </cfRule>
    <cfRule type="cellIs" dxfId="1692" priority="9708" operator="between">
      <formula>5</formula>
      <formula>9</formula>
    </cfRule>
    <cfRule type="cellIs" dxfId="1691" priority="9709" operator="between">
      <formula>0</formula>
      <formula>4</formula>
    </cfRule>
  </conditionalFormatting>
  <conditionalFormatting sqref="B68">
    <cfRule type="containsText" dxfId="1690" priority="9704" operator="containsText" text="WHS">
      <formula>NOT(ISERROR(SEARCH("WHS",B68)))</formula>
    </cfRule>
    <cfRule type="containsText" dxfId="1689" priority="9705" operator="containsText" text="Environment">
      <formula>NOT(ISERROR(SEARCH("Environment",B68)))</formula>
    </cfRule>
  </conditionalFormatting>
  <conditionalFormatting sqref="B68">
    <cfRule type="containsText" dxfId="1688" priority="9703" operator="containsText" text="Quality">
      <formula>NOT(ISERROR(SEARCH("Quality",B68)))</formula>
    </cfRule>
  </conditionalFormatting>
  <conditionalFormatting sqref="F68">
    <cfRule type="cellIs" dxfId="1687" priority="9710" operator="between">
      <formula>16</formula>
      <formula>25</formula>
    </cfRule>
    <cfRule type="cellIs" dxfId="1686" priority="9711" operator="between">
      <formula>10</formula>
      <formula>15</formula>
    </cfRule>
    <cfRule type="cellIs" dxfId="1685" priority="9712" operator="between">
      <formula>5</formula>
      <formula>9</formula>
    </cfRule>
    <cfRule type="cellIs" dxfId="1684" priority="9713" operator="between">
      <formula>0</formula>
      <formula>4</formula>
    </cfRule>
  </conditionalFormatting>
  <conditionalFormatting sqref="K69">
    <cfRule type="cellIs" dxfId="1683" priority="9695" operator="between">
      <formula>16</formula>
      <formula>25</formula>
    </cfRule>
    <cfRule type="cellIs" dxfId="1682" priority="9696" operator="between">
      <formula>10</formula>
      <formula>15</formula>
    </cfRule>
    <cfRule type="cellIs" dxfId="1681" priority="9697" operator="between">
      <formula>5</formula>
      <formula>9</formula>
    </cfRule>
    <cfRule type="cellIs" dxfId="1680" priority="9698" operator="between">
      <formula>0</formula>
      <formula>4</formula>
    </cfRule>
  </conditionalFormatting>
  <conditionalFormatting sqref="B69">
    <cfRule type="containsText" dxfId="1679" priority="9693" operator="containsText" text="WHS">
      <formula>NOT(ISERROR(SEARCH("WHS",B69)))</formula>
    </cfRule>
    <cfRule type="containsText" dxfId="1678" priority="9694" operator="containsText" text="Environment">
      <formula>NOT(ISERROR(SEARCH("Environment",B69)))</formula>
    </cfRule>
  </conditionalFormatting>
  <conditionalFormatting sqref="B69">
    <cfRule type="containsText" dxfId="1677" priority="9692" operator="containsText" text="Quality">
      <formula>NOT(ISERROR(SEARCH("Quality",B69)))</formula>
    </cfRule>
  </conditionalFormatting>
  <conditionalFormatting sqref="F69">
    <cfRule type="cellIs" dxfId="1676" priority="9699" operator="between">
      <formula>16</formula>
      <formula>25</formula>
    </cfRule>
    <cfRule type="cellIs" dxfId="1675" priority="9700" operator="between">
      <formula>10</formula>
      <formula>15</formula>
    </cfRule>
    <cfRule type="cellIs" dxfId="1674" priority="9701" operator="between">
      <formula>5</formula>
      <formula>9</formula>
    </cfRule>
    <cfRule type="cellIs" dxfId="1673" priority="9702" operator="between">
      <formula>0</formula>
      <formula>4</formula>
    </cfRule>
  </conditionalFormatting>
  <conditionalFormatting sqref="K70">
    <cfRule type="cellIs" dxfId="1672" priority="9684" operator="between">
      <formula>16</formula>
      <formula>25</formula>
    </cfRule>
    <cfRule type="cellIs" dxfId="1671" priority="9685" operator="between">
      <formula>10</formula>
      <formula>15</formula>
    </cfRule>
    <cfRule type="cellIs" dxfId="1670" priority="9686" operator="between">
      <formula>5</formula>
      <formula>9</formula>
    </cfRule>
    <cfRule type="cellIs" dxfId="1669" priority="9687" operator="between">
      <formula>0</formula>
      <formula>4</formula>
    </cfRule>
  </conditionalFormatting>
  <conditionalFormatting sqref="B70">
    <cfRule type="containsText" dxfId="1668" priority="9682" operator="containsText" text="WHS">
      <formula>NOT(ISERROR(SEARCH("WHS",B70)))</formula>
    </cfRule>
    <cfRule type="containsText" dxfId="1667" priority="9683" operator="containsText" text="Environment">
      <formula>NOT(ISERROR(SEARCH("Environment",B70)))</formula>
    </cfRule>
  </conditionalFormatting>
  <conditionalFormatting sqref="B70">
    <cfRule type="containsText" dxfId="1666" priority="9681" operator="containsText" text="Quality">
      <formula>NOT(ISERROR(SEARCH("Quality",B70)))</formula>
    </cfRule>
  </conditionalFormatting>
  <conditionalFormatting sqref="F70">
    <cfRule type="cellIs" dxfId="1665" priority="9688" operator="between">
      <formula>16</formula>
      <formula>25</formula>
    </cfRule>
    <cfRule type="cellIs" dxfId="1664" priority="9689" operator="between">
      <formula>10</formula>
      <formula>15</formula>
    </cfRule>
    <cfRule type="cellIs" dxfId="1663" priority="9690" operator="between">
      <formula>5</formula>
      <formula>9</formula>
    </cfRule>
    <cfRule type="cellIs" dxfId="1662" priority="9691" operator="between">
      <formula>0</formula>
      <formula>4</formula>
    </cfRule>
  </conditionalFormatting>
  <conditionalFormatting sqref="K71">
    <cfRule type="cellIs" dxfId="1661" priority="9673" operator="between">
      <formula>16</formula>
      <formula>25</formula>
    </cfRule>
    <cfRule type="cellIs" dxfId="1660" priority="9674" operator="between">
      <formula>10</formula>
      <formula>15</formula>
    </cfRule>
    <cfRule type="cellIs" dxfId="1659" priority="9675" operator="between">
      <formula>5</formula>
      <formula>9</formula>
    </cfRule>
    <cfRule type="cellIs" dxfId="1658" priority="9676" operator="between">
      <formula>0</formula>
      <formula>4</formula>
    </cfRule>
  </conditionalFormatting>
  <conditionalFormatting sqref="B71">
    <cfRule type="containsText" dxfId="1657" priority="9671" operator="containsText" text="WHS">
      <formula>NOT(ISERROR(SEARCH("WHS",B71)))</formula>
    </cfRule>
    <cfRule type="containsText" dxfId="1656" priority="9672" operator="containsText" text="Environment">
      <formula>NOT(ISERROR(SEARCH("Environment",B71)))</formula>
    </cfRule>
  </conditionalFormatting>
  <conditionalFormatting sqref="B71">
    <cfRule type="containsText" dxfId="1655" priority="9670" operator="containsText" text="Quality">
      <formula>NOT(ISERROR(SEARCH("Quality",B71)))</formula>
    </cfRule>
  </conditionalFormatting>
  <conditionalFormatting sqref="F71">
    <cfRule type="cellIs" dxfId="1654" priority="9677" operator="between">
      <formula>16</formula>
      <formula>25</formula>
    </cfRule>
    <cfRule type="cellIs" dxfId="1653" priority="9678" operator="between">
      <formula>10</formula>
      <formula>15</formula>
    </cfRule>
    <cfRule type="cellIs" dxfId="1652" priority="9679" operator="between">
      <formula>5</formula>
      <formula>9</formula>
    </cfRule>
    <cfRule type="cellIs" dxfId="1651" priority="9680" operator="between">
      <formula>0</formula>
      <formula>4</formula>
    </cfRule>
  </conditionalFormatting>
  <conditionalFormatting sqref="K72">
    <cfRule type="cellIs" dxfId="1650" priority="9662" operator="between">
      <formula>16</formula>
      <formula>25</formula>
    </cfRule>
    <cfRule type="cellIs" dxfId="1649" priority="9663" operator="between">
      <formula>10</formula>
      <formula>15</formula>
    </cfRule>
    <cfRule type="cellIs" dxfId="1648" priority="9664" operator="between">
      <formula>5</formula>
      <formula>9</formula>
    </cfRule>
    <cfRule type="cellIs" dxfId="1647" priority="9665" operator="between">
      <formula>0</formula>
      <formula>4</formula>
    </cfRule>
  </conditionalFormatting>
  <conditionalFormatting sqref="B72">
    <cfRule type="containsText" dxfId="1646" priority="9660" operator="containsText" text="WHS">
      <formula>NOT(ISERROR(SEARCH("WHS",B72)))</formula>
    </cfRule>
    <cfRule type="containsText" dxfId="1645" priority="9661" operator="containsText" text="Environment">
      <formula>NOT(ISERROR(SEARCH("Environment",B72)))</formula>
    </cfRule>
  </conditionalFormatting>
  <conditionalFormatting sqref="B72">
    <cfRule type="containsText" dxfId="1644" priority="9659" operator="containsText" text="Quality">
      <formula>NOT(ISERROR(SEARCH("Quality",B72)))</formula>
    </cfRule>
  </conditionalFormatting>
  <conditionalFormatting sqref="F72">
    <cfRule type="cellIs" dxfId="1643" priority="9666" operator="between">
      <formula>16</formula>
      <formula>25</formula>
    </cfRule>
    <cfRule type="cellIs" dxfId="1642" priority="9667" operator="between">
      <formula>10</formula>
      <formula>15</formula>
    </cfRule>
    <cfRule type="cellIs" dxfId="1641" priority="9668" operator="between">
      <formula>5</formula>
      <formula>9</formula>
    </cfRule>
    <cfRule type="cellIs" dxfId="1640" priority="9669" operator="between">
      <formula>0</formula>
      <formula>4</formula>
    </cfRule>
  </conditionalFormatting>
  <conditionalFormatting sqref="K73">
    <cfRule type="cellIs" dxfId="1639" priority="9651" operator="between">
      <formula>16</formula>
      <formula>25</formula>
    </cfRule>
    <cfRule type="cellIs" dxfId="1638" priority="9652" operator="between">
      <formula>10</formula>
      <formula>15</formula>
    </cfRule>
    <cfRule type="cellIs" dxfId="1637" priority="9653" operator="between">
      <formula>5</formula>
      <formula>9</formula>
    </cfRule>
    <cfRule type="cellIs" dxfId="1636" priority="9654" operator="between">
      <formula>0</formula>
      <formula>4</formula>
    </cfRule>
  </conditionalFormatting>
  <conditionalFormatting sqref="B73">
    <cfRule type="containsText" dxfId="1635" priority="9649" operator="containsText" text="WHS">
      <formula>NOT(ISERROR(SEARCH("WHS",B73)))</formula>
    </cfRule>
    <cfRule type="containsText" dxfId="1634" priority="9650" operator="containsText" text="Environment">
      <formula>NOT(ISERROR(SEARCH("Environment",B73)))</formula>
    </cfRule>
  </conditionalFormatting>
  <conditionalFormatting sqref="B73">
    <cfRule type="containsText" dxfId="1633" priority="9648" operator="containsText" text="Quality">
      <formula>NOT(ISERROR(SEARCH("Quality",B73)))</formula>
    </cfRule>
  </conditionalFormatting>
  <conditionalFormatting sqref="F73">
    <cfRule type="cellIs" dxfId="1632" priority="9655" operator="between">
      <formula>16</formula>
      <formula>25</formula>
    </cfRule>
    <cfRule type="cellIs" dxfId="1631" priority="9656" operator="between">
      <formula>10</formula>
      <formula>15</formula>
    </cfRule>
    <cfRule type="cellIs" dxfId="1630" priority="9657" operator="between">
      <formula>5</formula>
      <formula>9</formula>
    </cfRule>
    <cfRule type="cellIs" dxfId="1629" priority="9658" operator="between">
      <formula>0</formula>
      <formula>4</formula>
    </cfRule>
  </conditionalFormatting>
  <conditionalFormatting sqref="K74">
    <cfRule type="cellIs" dxfId="1628" priority="9640" operator="between">
      <formula>16</formula>
      <formula>25</formula>
    </cfRule>
    <cfRule type="cellIs" dxfId="1627" priority="9641" operator="between">
      <formula>10</formula>
      <formula>15</formula>
    </cfRule>
    <cfRule type="cellIs" dxfId="1626" priority="9642" operator="between">
      <formula>5</formula>
      <formula>9</formula>
    </cfRule>
    <cfRule type="cellIs" dxfId="1625" priority="9643" operator="between">
      <formula>0</formula>
      <formula>4</formula>
    </cfRule>
  </conditionalFormatting>
  <conditionalFormatting sqref="B74">
    <cfRule type="containsText" dxfId="1624" priority="9638" operator="containsText" text="WHS">
      <formula>NOT(ISERROR(SEARCH("WHS",B74)))</formula>
    </cfRule>
    <cfRule type="containsText" dxfId="1623" priority="9639" operator="containsText" text="Environment">
      <formula>NOT(ISERROR(SEARCH("Environment",B74)))</formula>
    </cfRule>
  </conditionalFormatting>
  <conditionalFormatting sqref="B74">
    <cfRule type="containsText" dxfId="1622" priority="9637" operator="containsText" text="Quality">
      <formula>NOT(ISERROR(SEARCH("Quality",B74)))</formula>
    </cfRule>
  </conditionalFormatting>
  <conditionalFormatting sqref="F74">
    <cfRule type="cellIs" dxfId="1621" priority="9644" operator="between">
      <formula>16</formula>
      <formula>25</formula>
    </cfRule>
    <cfRule type="cellIs" dxfId="1620" priority="9645" operator="between">
      <formula>10</formula>
      <formula>15</formula>
    </cfRule>
    <cfRule type="cellIs" dxfId="1619" priority="9646" operator="between">
      <formula>5</formula>
      <formula>9</formula>
    </cfRule>
    <cfRule type="cellIs" dxfId="1618" priority="9647" operator="between">
      <formula>0</formula>
      <formula>4</formula>
    </cfRule>
  </conditionalFormatting>
  <conditionalFormatting sqref="K75">
    <cfRule type="cellIs" dxfId="1617" priority="9629" operator="between">
      <formula>16</formula>
      <formula>25</formula>
    </cfRule>
    <cfRule type="cellIs" dxfId="1616" priority="9630" operator="between">
      <formula>10</formula>
      <formula>15</formula>
    </cfRule>
    <cfRule type="cellIs" dxfId="1615" priority="9631" operator="between">
      <formula>5</formula>
      <formula>9</formula>
    </cfRule>
    <cfRule type="cellIs" dxfId="1614" priority="9632" operator="between">
      <formula>0</formula>
      <formula>4</formula>
    </cfRule>
  </conditionalFormatting>
  <conditionalFormatting sqref="B75">
    <cfRule type="containsText" dxfId="1613" priority="9627" operator="containsText" text="WHS">
      <formula>NOT(ISERROR(SEARCH("WHS",B75)))</formula>
    </cfRule>
    <cfRule type="containsText" dxfId="1612" priority="9628" operator="containsText" text="Environment">
      <formula>NOT(ISERROR(SEARCH("Environment",B75)))</formula>
    </cfRule>
  </conditionalFormatting>
  <conditionalFormatting sqref="B75">
    <cfRule type="containsText" dxfId="1611" priority="9626" operator="containsText" text="Quality">
      <formula>NOT(ISERROR(SEARCH("Quality",B75)))</formula>
    </cfRule>
  </conditionalFormatting>
  <conditionalFormatting sqref="F75">
    <cfRule type="cellIs" dxfId="1610" priority="9633" operator="between">
      <formula>16</formula>
      <formula>25</formula>
    </cfRule>
    <cfRule type="cellIs" dxfId="1609" priority="9634" operator="between">
      <formula>10</formula>
      <formula>15</formula>
    </cfRule>
    <cfRule type="cellIs" dxfId="1608" priority="9635" operator="between">
      <formula>5</formula>
      <formula>9</formula>
    </cfRule>
    <cfRule type="cellIs" dxfId="1607" priority="9636" operator="between">
      <formula>0</formula>
      <formula>4</formula>
    </cfRule>
  </conditionalFormatting>
  <conditionalFormatting sqref="K76">
    <cfRule type="cellIs" dxfId="1606" priority="9618" operator="between">
      <formula>16</formula>
      <formula>25</formula>
    </cfRule>
    <cfRule type="cellIs" dxfId="1605" priority="9619" operator="between">
      <formula>10</formula>
      <formula>15</formula>
    </cfRule>
    <cfRule type="cellIs" dxfId="1604" priority="9620" operator="between">
      <formula>5</formula>
      <formula>9</formula>
    </cfRule>
    <cfRule type="cellIs" dxfId="1603" priority="9621" operator="between">
      <formula>0</formula>
      <formula>4</formula>
    </cfRule>
  </conditionalFormatting>
  <conditionalFormatting sqref="B76">
    <cfRule type="containsText" dxfId="1602" priority="9616" operator="containsText" text="WHS">
      <formula>NOT(ISERROR(SEARCH("WHS",B76)))</formula>
    </cfRule>
    <cfRule type="containsText" dxfId="1601" priority="9617" operator="containsText" text="Environment">
      <formula>NOT(ISERROR(SEARCH("Environment",B76)))</formula>
    </cfRule>
  </conditionalFormatting>
  <conditionalFormatting sqref="B76">
    <cfRule type="containsText" dxfId="1600" priority="9615" operator="containsText" text="Quality">
      <formula>NOT(ISERROR(SEARCH("Quality",B76)))</formula>
    </cfRule>
  </conditionalFormatting>
  <conditionalFormatting sqref="F76">
    <cfRule type="cellIs" dxfId="1599" priority="9622" operator="between">
      <formula>16</formula>
      <formula>25</formula>
    </cfRule>
    <cfRule type="cellIs" dxfId="1598" priority="9623" operator="between">
      <formula>10</formula>
      <formula>15</formula>
    </cfRule>
    <cfRule type="cellIs" dxfId="1597" priority="9624" operator="between">
      <formula>5</formula>
      <formula>9</formula>
    </cfRule>
    <cfRule type="cellIs" dxfId="1596" priority="9625" operator="between">
      <formula>0</formula>
      <formula>4</formula>
    </cfRule>
  </conditionalFormatting>
  <conditionalFormatting sqref="K77">
    <cfRule type="cellIs" dxfId="1595" priority="9607" operator="between">
      <formula>16</formula>
      <formula>25</formula>
    </cfRule>
    <cfRule type="cellIs" dxfId="1594" priority="9608" operator="between">
      <formula>10</formula>
      <formula>15</formula>
    </cfRule>
    <cfRule type="cellIs" dxfId="1593" priority="9609" operator="between">
      <formula>5</formula>
      <formula>9</formula>
    </cfRule>
    <cfRule type="cellIs" dxfId="1592" priority="9610" operator="between">
      <formula>0</formula>
      <formula>4</formula>
    </cfRule>
  </conditionalFormatting>
  <conditionalFormatting sqref="B77">
    <cfRule type="containsText" dxfId="1591" priority="9605" operator="containsText" text="WHS">
      <formula>NOT(ISERROR(SEARCH("WHS",B77)))</formula>
    </cfRule>
    <cfRule type="containsText" dxfId="1590" priority="9606" operator="containsText" text="Environment">
      <formula>NOT(ISERROR(SEARCH("Environment",B77)))</formula>
    </cfRule>
  </conditionalFormatting>
  <conditionalFormatting sqref="B77">
    <cfRule type="containsText" dxfId="1589" priority="9604" operator="containsText" text="Quality">
      <formula>NOT(ISERROR(SEARCH("Quality",B77)))</formula>
    </cfRule>
  </conditionalFormatting>
  <conditionalFormatting sqref="F77">
    <cfRule type="cellIs" dxfId="1588" priority="9611" operator="between">
      <formula>16</formula>
      <formula>25</formula>
    </cfRule>
    <cfRule type="cellIs" dxfId="1587" priority="9612" operator="between">
      <formula>10</formula>
      <formula>15</formula>
    </cfRule>
    <cfRule type="cellIs" dxfId="1586" priority="9613" operator="between">
      <formula>5</formula>
      <formula>9</formula>
    </cfRule>
    <cfRule type="cellIs" dxfId="1585" priority="9614" operator="between">
      <formula>0</formula>
      <formula>4</formula>
    </cfRule>
  </conditionalFormatting>
  <conditionalFormatting sqref="K78">
    <cfRule type="cellIs" dxfId="1584" priority="9596" operator="between">
      <formula>16</formula>
      <formula>25</formula>
    </cfRule>
    <cfRule type="cellIs" dxfId="1583" priority="9597" operator="between">
      <formula>10</formula>
      <formula>15</formula>
    </cfRule>
    <cfRule type="cellIs" dxfId="1582" priority="9598" operator="between">
      <formula>5</formula>
      <formula>9</formula>
    </cfRule>
    <cfRule type="cellIs" dxfId="1581" priority="9599" operator="between">
      <formula>0</formula>
      <formula>4</formula>
    </cfRule>
  </conditionalFormatting>
  <conditionalFormatting sqref="B78">
    <cfRule type="containsText" dxfId="1580" priority="9594" operator="containsText" text="WHS">
      <formula>NOT(ISERROR(SEARCH("WHS",B78)))</formula>
    </cfRule>
    <cfRule type="containsText" dxfId="1579" priority="9595" operator="containsText" text="Environment">
      <formula>NOT(ISERROR(SEARCH("Environment",B78)))</formula>
    </cfRule>
  </conditionalFormatting>
  <conditionalFormatting sqref="B78">
    <cfRule type="containsText" dxfId="1578" priority="9593" operator="containsText" text="Quality">
      <formula>NOT(ISERROR(SEARCH("Quality",B78)))</formula>
    </cfRule>
  </conditionalFormatting>
  <conditionalFormatting sqref="F78">
    <cfRule type="cellIs" dxfId="1577" priority="9600" operator="between">
      <formula>16</formula>
      <formula>25</formula>
    </cfRule>
    <cfRule type="cellIs" dxfId="1576" priority="9601" operator="between">
      <formula>10</formula>
      <formula>15</formula>
    </cfRule>
    <cfRule type="cellIs" dxfId="1575" priority="9602" operator="between">
      <formula>5</formula>
      <formula>9</formula>
    </cfRule>
    <cfRule type="cellIs" dxfId="1574" priority="9603" operator="between">
      <formula>0</formula>
      <formula>4</formula>
    </cfRule>
  </conditionalFormatting>
  <conditionalFormatting sqref="K79">
    <cfRule type="cellIs" dxfId="1573" priority="9585" operator="between">
      <formula>16</formula>
      <formula>25</formula>
    </cfRule>
    <cfRule type="cellIs" dxfId="1572" priority="9586" operator="between">
      <formula>10</formula>
      <formula>15</formula>
    </cfRule>
    <cfRule type="cellIs" dxfId="1571" priority="9587" operator="between">
      <formula>5</formula>
      <formula>9</formula>
    </cfRule>
    <cfRule type="cellIs" dxfId="1570" priority="9588" operator="between">
      <formula>0</formula>
      <formula>4</formula>
    </cfRule>
  </conditionalFormatting>
  <conditionalFormatting sqref="B79">
    <cfRule type="containsText" dxfId="1569" priority="9583" operator="containsText" text="WHS">
      <formula>NOT(ISERROR(SEARCH("WHS",B79)))</formula>
    </cfRule>
    <cfRule type="containsText" dxfId="1568" priority="9584" operator="containsText" text="Environment">
      <formula>NOT(ISERROR(SEARCH("Environment",B79)))</formula>
    </cfRule>
  </conditionalFormatting>
  <conditionalFormatting sqref="B79">
    <cfRule type="containsText" dxfId="1567" priority="9582" operator="containsText" text="Quality">
      <formula>NOT(ISERROR(SEARCH("Quality",B79)))</formula>
    </cfRule>
  </conditionalFormatting>
  <conditionalFormatting sqref="F79">
    <cfRule type="cellIs" dxfId="1566" priority="9589" operator="between">
      <formula>16</formula>
      <formula>25</formula>
    </cfRule>
    <cfRule type="cellIs" dxfId="1565" priority="9590" operator="between">
      <formula>10</formula>
      <formula>15</formula>
    </cfRule>
    <cfRule type="cellIs" dxfId="1564" priority="9591" operator="between">
      <formula>5</formula>
      <formula>9</formula>
    </cfRule>
    <cfRule type="cellIs" dxfId="1563" priority="9592" operator="between">
      <formula>0</formula>
      <formula>4</formula>
    </cfRule>
  </conditionalFormatting>
  <conditionalFormatting sqref="K80">
    <cfRule type="cellIs" dxfId="1562" priority="9574" operator="between">
      <formula>16</formula>
      <formula>25</formula>
    </cfRule>
    <cfRule type="cellIs" dxfId="1561" priority="9575" operator="between">
      <formula>10</formula>
      <formula>15</formula>
    </cfRule>
    <cfRule type="cellIs" dxfId="1560" priority="9576" operator="between">
      <formula>5</formula>
      <formula>9</formula>
    </cfRule>
    <cfRule type="cellIs" dxfId="1559" priority="9577" operator="between">
      <formula>0</formula>
      <formula>4</formula>
    </cfRule>
  </conditionalFormatting>
  <conditionalFormatting sqref="B80">
    <cfRule type="containsText" dxfId="1558" priority="9572" operator="containsText" text="WHS">
      <formula>NOT(ISERROR(SEARCH("WHS",B80)))</formula>
    </cfRule>
    <cfRule type="containsText" dxfId="1557" priority="9573" operator="containsText" text="Environment">
      <formula>NOT(ISERROR(SEARCH("Environment",B80)))</formula>
    </cfRule>
  </conditionalFormatting>
  <conditionalFormatting sqref="B80">
    <cfRule type="containsText" dxfId="1556" priority="9571" operator="containsText" text="Quality">
      <formula>NOT(ISERROR(SEARCH("Quality",B80)))</formula>
    </cfRule>
  </conditionalFormatting>
  <conditionalFormatting sqref="F80">
    <cfRule type="cellIs" dxfId="1555" priority="9578" operator="between">
      <formula>16</formula>
      <formula>25</formula>
    </cfRule>
    <cfRule type="cellIs" dxfId="1554" priority="9579" operator="between">
      <formula>10</formula>
      <formula>15</formula>
    </cfRule>
    <cfRule type="cellIs" dxfId="1553" priority="9580" operator="between">
      <formula>5</formula>
      <formula>9</formula>
    </cfRule>
    <cfRule type="cellIs" dxfId="1552" priority="9581" operator="between">
      <formula>0</formula>
      <formula>4</formula>
    </cfRule>
  </conditionalFormatting>
  <conditionalFormatting sqref="K81">
    <cfRule type="cellIs" dxfId="1551" priority="9563" operator="between">
      <formula>16</formula>
      <formula>25</formula>
    </cfRule>
    <cfRule type="cellIs" dxfId="1550" priority="9564" operator="between">
      <formula>10</formula>
      <formula>15</formula>
    </cfRule>
    <cfRule type="cellIs" dxfId="1549" priority="9565" operator="between">
      <formula>5</formula>
      <formula>9</formula>
    </cfRule>
    <cfRule type="cellIs" dxfId="1548" priority="9566" operator="between">
      <formula>0</formula>
      <formula>4</formula>
    </cfRule>
  </conditionalFormatting>
  <conditionalFormatting sqref="B81">
    <cfRule type="containsText" dxfId="1547" priority="9561" operator="containsText" text="WHS">
      <formula>NOT(ISERROR(SEARCH("WHS",B81)))</formula>
    </cfRule>
    <cfRule type="containsText" dxfId="1546" priority="9562" operator="containsText" text="Environment">
      <formula>NOT(ISERROR(SEARCH("Environment",B81)))</formula>
    </cfRule>
  </conditionalFormatting>
  <conditionalFormatting sqref="B81">
    <cfRule type="containsText" dxfId="1545" priority="9560" operator="containsText" text="Quality">
      <formula>NOT(ISERROR(SEARCH("Quality",B81)))</formula>
    </cfRule>
  </conditionalFormatting>
  <conditionalFormatting sqref="F81">
    <cfRule type="cellIs" dxfId="1544" priority="9567" operator="between">
      <formula>16</formula>
      <formula>25</formula>
    </cfRule>
    <cfRule type="cellIs" dxfId="1543" priority="9568" operator="between">
      <formula>10</formula>
      <formula>15</formula>
    </cfRule>
    <cfRule type="cellIs" dxfId="1542" priority="9569" operator="between">
      <formula>5</formula>
      <formula>9</formula>
    </cfRule>
    <cfRule type="cellIs" dxfId="1541" priority="9570" operator="between">
      <formula>0</formula>
      <formula>4</formula>
    </cfRule>
  </conditionalFormatting>
  <conditionalFormatting sqref="K82">
    <cfRule type="cellIs" dxfId="1540" priority="9552" operator="between">
      <formula>16</formula>
      <formula>25</formula>
    </cfRule>
    <cfRule type="cellIs" dxfId="1539" priority="9553" operator="between">
      <formula>10</formula>
      <formula>15</formula>
    </cfRule>
    <cfRule type="cellIs" dxfId="1538" priority="9554" operator="between">
      <formula>5</formula>
      <formula>9</formula>
    </cfRule>
    <cfRule type="cellIs" dxfId="1537" priority="9555" operator="between">
      <formula>0</formula>
      <formula>4</formula>
    </cfRule>
  </conditionalFormatting>
  <conditionalFormatting sqref="B82">
    <cfRule type="containsText" dxfId="1536" priority="9550" operator="containsText" text="WHS">
      <formula>NOT(ISERROR(SEARCH("WHS",B82)))</formula>
    </cfRule>
    <cfRule type="containsText" dxfId="1535" priority="9551" operator="containsText" text="Environment">
      <formula>NOT(ISERROR(SEARCH("Environment",B82)))</formula>
    </cfRule>
  </conditionalFormatting>
  <conditionalFormatting sqref="B82">
    <cfRule type="containsText" dxfId="1534" priority="9549" operator="containsText" text="Quality">
      <formula>NOT(ISERROR(SEARCH("Quality",B82)))</formula>
    </cfRule>
  </conditionalFormatting>
  <conditionalFormatting sqref="F82">
    <cfRule type="cellIs" dxfId="1533" priority="9556" operator="between">
      <formula>16</formula>
      <formula>25</formula>
    </cfRule>
    <cfRule type="cellIs" dxfId="1532" priority="9557" operator="between">
      <formula>10</formula>
      <formula>15</formula>
    </cfRule>
    <cfRule type="cellIs" dxfId="1531" priority="9558" operator="between">
      <formula>5</formula>
      <formula>9</formula>
    </cfRule>
    <cfRule type="cellIs" dxfId="1530" priority="9559" operator="between">
      <formula>0</formula>
      <formula>4</formula>
    </cfRule>
  </conditionalFormatting>
  <conditionalFormatting sqref="K83">
    <cfRule type="cellIs" dxfId="1529" priority="9541" operator="between">
      <formula>16</formula>
      <formula>25</formula>
    </cfRule>
    <cfRule type="cellIs" dxfId="1528" priority="9542" operator="between">
      <formula>10</formula>
      <formula>15</formula>
    </cfRule>
    <cfRule type="cellIs" dxfId="1527" priority="9543" operator="between">
      <formula>5</formula>
      <formula>9</formula>
    </cfRule>
    <cfRule type="cellIs" dxfId="1526" priority="9544" operator="between">
      <formula>0</formula>
      <formula>4</formula>
    </cfRule>
  </conditionalFormatting>
  <conditionalFormatting sqref="B83">
    <cfRule type="containsText" dxfId="1525" priority="9539" operator="containsText" text="WHS">
      <formula>NOT(ISERROR(SEARCH("WHS",B83)))</formula>
    </cfRule>
    <cfRule type="containsText" dxfId="1524" priority="9540" operator="containsText" text="Environment">
      <formula>NOT(ISERROR(SEARCH("Environment",B83)))</formula>
    </cfRule>
  </conditionalFormatting>
  <conditionalFormatting sqref="B83">
    <cfRule type="containsText" dxfId="1523" priority="9538" operator="containsText" text="Quality">
      <formula>NOT(ISERROR(SEARCH("Quality",B83)))</formula>
    </cfRule>
  </conditionalFormatting>
  <conditionalFormatting sqref="F83">
    <cfRule type="cellIs" dxfId="1522" priority="9545" operator="between">
      <formula>16</formula>
      <formula>25</formula>
    </cfRule>
    <cfRule type="cellIs" dxfId="1521" priority="9546" operator="between">
      <formula>10</formula>
      <formula>15</formula>
    </cfRule>
    <cfRule type="cellIs" dxfId="1520" priority="9547" operator="between">
      <formula>5</formula>
      <formula>9</formula>
    </cfRule>
    <cfRule type="cellIs" dxfId="1519" priority="9548" operator="between">
      <formula>0</formula>
      <formula>4</formula>
    </cfRule>
  </conditionalFormatting>
  <conditionalFormatting sqref="K84">
    <cfRule type="cellIs" dxfId="1518" priority="9530" operator="between">
      <formula>16</formula>
      <formula>25</formula>
    </cfRule>
    <cfRule type="cellIs" dxfId="1517" priority="9531" operator="between">
      <formula>10</formula>
      <formula>15</formula>
    </cfRule>
    <cfRule type="cellIs" dxfId="1516" priority="9532" operator="between">
      <formula>5</formula>
      <formula>9</formula>
    </cfRule>
    <cfRule type="cellIs" dxfId="1515" priority="9533" operator="between">
      <formula>0</formula>
      <formula>4</formula>
    </cfRule>
  </conditionalFormatting>
  <conditionalFormatting sqref="B84">
    <cfRule type="containsText" dxfId="1514" priority="9528" operator="containsText" text="WHS">
      <formula>NOT(ISERROR(SEARCH("WHS",B84)))</formula>
    </cfRule>
    <cfRule type="containsText" dxfId="1513" priority="9529" operator="containsText" text="Environment">
      <formula>NOT(ISERROR(SEARCH("Environment",B84)))</formula>
    </cfRule>
  </conditionalFormatting>
  <conditionalFormatting sqref="B84">
    <cfRule type="containsText" dxfId="1512" priority="9527" operator="containsText" text="Quality">
      <formula>NOT(ISERROR(SEARCH("Quality",B84)))</formula>
    </cfRule>
  </conditionalFormatting>
  <conditionalFormatting sqref="F84">
    <cfRule type="cellIs" dxfId="1511" priority="9534" operator="between">
      <formula>16</formula>
      <formula>25</formula>
    </cfRule>
    <cfRule type="cellIs" dxfId="1510" priority="9535" operator="between">
      <formula>10</formula>
      <formula>15</formula>
    </cfRule>
    <cfRule type="cellIs" dxfId="1509" priority="9536" operator="between">
      <formula>5</formula>
      <formula>9</formula>
    </cfRule>
    <cfRule type="cellIs" dxfId="1508" priority="9537" operator="between">
      <formula>0</formula>
      <formula>4</formula>
    </cfRule>
  </conditionalFormatting>
  <conditionalFormatting sqref="K85">
    <cfRule type="cellIs" dxfId="1507" priority="9519" operator="between">
      <formula>16</formula>
      <formula>25</formula>
    </cfRule>
    <cfRule type="cellIs" dxfId="1506" priority="9520" operator="between">
      <formula>10</formula>
      <formula>15</formula>
    </cfRule>
    <cfRule type="cellIs" dxfId="1505" priority="9521" operator="between">
      <formula>5</formula>
      <formula>9</formula>
    </cfRule>
    <cfRule type="cellIs" dxfId="1504" priority="9522" operator="between">
      <formula>0</formula>
      <formula>4</formula>
    </cfRule>
  </conditionalFormatting>
  <conditionalFormatting sqref="B85">
    <cfRule type="containsText" dxfId="1503" priority="9517" operator="containsText" text="WHS">
      <formula>NOT(ISERROR(SEARCH("WHS",B85)))</formula>
    </cfRule>
    <cfRule type="containsText" dxfId="1502" priority="9518" operator="containsText" text="Environment">
      <formula>NOT(ISERROR(SEARCH("Environment",B85)))</formula>
    </cfRule>
  </conditionalFormatting>
  <conditionalFormatting sqref="B85">
    <cfRule type="containsText" dxfId="1501" priority="9516" operator="containsText" text="Quality">
      <formula>NOT(ISERROR(SEARCH("Quality",B85)))</formula>
    </cfRule>
  </conditionalFormatting>
  <conditionalFormatting sqref="F85">
    <cfRule type="cellIs" dxfId="1500" priority="9523" operator="between">
      <formula>16</formula>
      <formula>25</formula>
    </cfRule>
    <cfRule type="cellIs" dxfId="1499" priority="9524" operator="between">
      <formula>10</formula>
      <formula>15</formula>
    </cfRule>
    <cfRule type="cellIs" dxfId="1498" priority="9525" operator="between">
      <formula>5</formula>
      <formula>9</formula>
    </cfRule>
    <cfRule type="cellIs" dxfId="1497" priority="9526" operator="between">
      <formula>0</formula>
      <formula>4</formula>
    </cfRule>
  </conditionalFormatting>
  <conditionalFormatting sqref="K86">
    <cfRule type="cellIs" dxfId="1496" priority="9508" operator="between">
      <formula>16</formula>
      <formula>25</formula>
    </cfRule>
    <cfRule type="cellIs" dxfId="1495" priority="9509" operator="between">
      <formula>10</formula>
      <formula>15</formula>
    </cfRule>
    <cfRule type="cellIs" dxfId="1494" priority="9510" operator="between">
      <formula>5</formula>
      <formula>9</formula>
    </cfRule>
    <cfRule type="cellIs" dxfId="1493" priority="9511" operator="between">
      <formula>0</formula>
      <formula>4</formula>
    </cfRule>
  </conditionalFormatting>
  <conditionalFormatting sqref="B86">
    <cfRule type="containsText" dxfId="1492" priority="9506" operator="containsText" text="WHS">
      <formula>NOT(ISERROR(SEARCH("WHS",B86)))</formula>
    </cfRule>
    <cfRule type="containsText" dxfId="1491" priority="9507" operator="containsText" text="Environment">
      <formula>NOT(ISERROR(SEARCH("Environment",B86)))</formula>
    </cfRule>
  </conditionalFormatting>
  <conditionalFormatting sqref="B86">
    <cfRule type="containsText" dxfId="1490" priority="9505" operator="containsText" text="Quality">
      <formula>NOT(ISERROR(SEARCH("Quality",B86)))</formula>
    </cfRule>
  </conditionalFormatting>
  <conditionalFormatting sqref="F86">
    <cfRule type="cellIs" dxfId="1489" priority="9512" operator="between">
      <formula>16</formula>
      <formula>25</formula>
    </cfRule>
    <cfRule type="cellIs" dxfId="1488" priority="9513" operator="between">
      <formula>10</formula>
      <formula>15</formula>
    </cfRule>
    <cfRule type="cellIs" dxfId="1487" priority="9514" operator="between">
      <formula>5</formula>
      <formula>9</formula>
    </cfRule>
    <cfRule type="cellIs" dxfId="1486" priority="9515" operator="between">
      <formula>0</formula>
      <formula>4</formula>
    </cfRule>
  </conditionalFormatting>
  <conditionalFormatting sqref="K87">
    <cfRule type="cellIs" dxfId="1485" priority="9497" operator="between">
      <formula>16</formula>
      <formula>25</formula>
    </cfRule>
    <cfRule type="cellIs" dxfId="1484" priority="9498" operator="between">
      <formula>10</formula>
      <formula>15</formula>
    </cfRule>
    <cfRule type="cellIs" dxfId="1483" priority="9499" operator="between">
      <formula>5</formula>
      <formula>9</formula>
    </cfRule>
    <cfRule type="cellIs" dxfId="1482" priority="9500" operator="between">
      <formula>0</formula>
      <formula>4</formula>
    </cfRule>
  </conditionalFormatting>
  <conditionalFormatting sqref="B87">
    <cfRule type="containsText" dxfId="1481" priority="9495" operator="containsText" text="WHS">
      <formula>NOT(ISERROR(SEARCH("WHS",B87)))</formula>
    </cfRule>
    <cfRule type="containsText" dxfId="1480" priority="9496" operator="containsText" text="Environment">
      <formula>NOT(ISERROR(SEARCH("Environment",B87)))</formula>
    </cfRule>
  </conditionalFormatting>
  <conditionalFormatting sqref="B87">
    <cfRule type="containsText" dxfId="1479" priority="9494" operator="containsText" text="Quality">
      <formula>NOT(ISERROR(SEARCH("Quality",B87)))</formula>
    </cfRule>
  </conditionalFormatting>
  <conditionalFormatting sqref="F87">
    <cfRule type="cellIs" dxfId="1478" priority="9501" operator="between">
      <formula>16</formula>
      <formula>25</formula>
    </cfRule>
    <cfRule type="cellIs" dxfId="1477" priority="9502" operator="between">
      <formula>10</formula>
      <formula>15</formula>
    </cfRule>
    <cfRule type="cellIs" dxfId="1476" priority="9503" operator="between">
      <formula>5</formula>
      <formula>9</formula>
    </cfRule>
    <cfRule type="cellIs" dxfId="1475" priority="9504" operator="between">
      <formula>0</formula>
      <formula>4</formula>
    </cfRule>
  </conditionalFormatting>
  <conditionalFormatting sqref="K88">
    <cfRule type="cellIs" dxfId="1474" priority="9486" operator="between">
      <formula>16</formula>
      <formula>25</formula>
    </cfRule>
    <cfRule type="cellIs" dxfId="1473" priority="9487" operator="between">
      <formula>10</formula>
      <formula>15</formula>
    </cfRule>
    <cfRule type="cellIs" dxfId="1472" priority="9488" operator="between">
      <formula>5</formula>
      <formula>9</formula>
    </cfRule>
    <cfRule type="cellIs" dxfId="1471" priority="9489" operator="between">
      <formula>0</formula>
      <formula>4</formula>
    </cfRule>
  </conditionalFormatting>
  <conditionalFormatting sqref="B88">
    <cfRule type="containsText" dxfId="1470" priority="9484" operator="containsText" text="WHS">
      <formula>NOT(ISERROR(SEARCH("WHS",B88)))</formula>
    </cfRule>
    <cfRule type="containsText" dxfId="1469" priority="9485" operator="containsText" text="Environment">
      <formula>NOT(ISERROR(SEARCH("Environment",B88)))</formula>
    </cfRule>
  </conditionalFormatting>
  <conditionalFormatting sqref="B88">
    <cfRule type="containsText" dxfId="1468" priority="9483" operator="containsText" text="Quality">
      <formula>NOT(ISERROR(SEARCH("Quality",B88)))</formula>
    </cfRule>
  </conditionalFormatting>
  <conditionalFormatting sqref="F88">
    <cfRule type="cellIs" dxfId="1467" priority="9490" operator="between">
      <formula>16</formula>
      <formula>25</formula>
    </cfRule>
    <cfRule type="cellIs" dxfId="1466" priority="9491" operator="between">
      <formula>10</formula>
      <formula>15</formula>
    </cfRule>
    <cfRule type="cellIs" dxfId="1465" priority="9492" operator="between">
      <formula>5</formula>
      <formula>9</formula>
    </cfRule>
    <cfRule type="cellIs" dxfId="1464" priority="9493" operator="between">
      <formula>0</formula>
      <formula>4</formula>
    </cfRule>
  </conditionalFormatting>
  <conditionalFormatting sqref="K89">
    <cfRule type="cellIs" dxfId="1463" priority="9475" operator="between">
      <formula>16</formula>
      <formula>25</formula>
    </cfRule>
    <cfRule type="cellIs" dxfId="1462" priority="9476" operator="between">
      <formula>10</formula>
      <formula>15</formula>
    </cfRule>
    <cfRule type="cellIs" dxfId="1461" priority="9477" operator="between">
      <formula>5</formula>
      <formula>9</formula>
    </cfRule>
    <cfRule type="cellIs" dxfId="1460" priority="9478" operator="between">
      <formula>0</formula>
      <formula>4</formula>
    </cfRule>
  </conditionalFormatting>
  <conditionalFormatting sqref="B89">
    <cfRule type="containsText" dxfId="1459" priority="9473" operator="containsText" text="WHS">
      <formula>NOT(ISERROR(SEARCH("WHS",B89)))</formula>
    </cfRule>
    <cfRule type="containsText" dxfId="1458" priority="9474" operator="containsText" text="Environment">
      <formula>NOT(ISERROR(SEARCH("Environment",B89)))</formula>
    </cfRule>
  </conditionalFormatting>
  <conditionalFormatting sqref="B89">
    <cfRule type="containsText" dxfId="1457" priority="9472" operator="containsText" text="Quality">
      <formula>NOT(ISERROR(SEARCH("Quality",B89)))</formula>
    </cfRule>
  </conditionalFormatting>
  <conditionalFormatting sqref="F89">
    <cfRule type="cellIs" dxfId="1456" priority="9479" operator="between">
      <formula>16</formula>
      <formula>25</formula>
    </cfRule>
    <cfRule type="cellIs" dxfId="1455" priority="9480" operator="between">
      <formula>10</formula>
      <formula>15</formula>
    </cfRule>
    <cfRule type="cellIs" dxfId="1454" priority="9481" operator="between">
      <formula>5</formula>
      <formula>9</formula>
    </cfRule>
    <cfRule type="cellIs" dxfId="1453" priority="9482" operator="between">
      <formula>0</formula>
      <formula>4</formula>
    </cfRule>
  </conditionalFormatting>
  <conditionalFormatting sqref="K90">
    <cfRule type="cellIs" dxfId="1452" priority="9464" operator="between">
      <formula>16</formula>
      <formula>25</formula>
    </cfRule>
    <cfRule type="cellIs" dxfId="1451" priority="9465" operator="between">
      <formula>10</formula>
      <formula>15</formula>
    </cfRule>
    <cfRule type="cellIs" dxfId="1450" priority="9466" operator="between">
      <formula>5</formula>
      <formula>9</formula>
    </cfRule>
    <cfRule type="cellIs" dxfId="1449" priority="9467" operator="between">
      <formula>0</formula>
      <formula>4</formula>
    </cfRule>
  </conditionalFormatting>
  <conditionalFormatting sqref="B90">
    <cfRule type="containsText" dxfId="1448" priority="9462" operator="containsText" text="WHS">
      <formula>NOT(ISERROR(SEARCH("WHS",B90)))</formula>
    </cfRule>
    <cfRule type="containsText" dxfId="1447" priority="9463" operator="containsText" text="Environment">
      <formula>NOT(ISERROR(SEARCH("Environment",B90)))</formula>
    </cfRule>
  </conditionalFormatting>
  <conditionalFormatting sqref="B90">
    <cfRule type="containsText" dxfId="1446" priority="9461" operator="containsText" text="Quality">
      <formula>NOT(ISERROR(SEARCH("Quality",B90)))</formula>
    </cfRule>
  </conditionalFormatting>
  <conditionalFormatting sqref="F90">
    <cfRule type="cellIs" dxfId="1445" priority="9468" operator="between">
      <formula>16</formula>
      <formula>25</formula>
    </cfRule>
    <cfRule type="cellIs" dxfId="1444" priority="9469" operator="between">
      <formula>10</formula>
      <formula>15</formula>
    </cfRule>
    <cfRule type="cellIs" dxfId="1443" priority="9470" operator="between">
      <formula>5</formula>
      <formula>9</formula>
    </cfRule>
    <cfRule type="cellIs" dxfId="1442" priority="9471" operator="between">
      <formula>0</formula>
      <formula>4</formula>
    </cfRule>
  </conditionalFormatting>
  <conditionalFormatting sqref="K91">
    <cfRule type="cellIs" dxfId="1441" priority="9453" operator="between">
      <formula>16</formula>
      <formula>25</formula>
    </cfRule>
    <cfRule type="cellIs" dxfId="1440" priority="9454" operator="between">
      <formula>10</formula>
      <formula>15</formula>
    </cfRule>
    <cfRule type="cellIs" dxfId="1439" priority="9455" operator="between">
      <formula>5</formula>
      <formula>9</formula>
    </cfRule>
    <cfRule type="cellIs" dxfId="1438" priority="9456" operator="between">
      <formula>0</formula>
      <formula>4</formula>
    </cfRule>
  </conditionalFormatting>
  <conditionalFormatting sqref="B91">
    <cfRule type="containsText" dxfId="1437" priority="9451" operator="containsText" text="WHS">
      <formula>NOT(ISERROR(SEARCH("WHS",B91)))</formula>
    </cfRule>
    <cfRule type="containsText" dxfId="1436" priority="9452" operator="containsText" text="Environment">
      <formula>NOT(ISERROR(SEARCH("Environment",B91)))</formula>
    </cfRule>
  </conditionalFormatting>
  <conditionalFormatting sqref="B91">
    <cfRule type="containsText" dxfId="1435" priority="9450" operator="containsText" text="Quality">
      <formula>NOT(ISERROR(SEARCH("Quality",B91)))</formula>
    </cfRule>
  </conditionalFormatting>
  <conditionalFormatting sqref="F91">
    <cfRule type="cellIs" dxfId="1434" priority="9457" operator="between">
      <formula>16</formula>
      <formula>25</formula>
    </cfRule>
    <cfRule type="cellIs" dxfId="1433" priority="9458" operator="between">
      <formula>10</formula>
      <formula>15</formula>
    </cfRule>
    <cfRule type="cellIs" dxfId="1432" priority="9459" operator="between">
      <formula>5</formula>
      <formula>9</formula>
    </cfRule>
    <cfRule type="cellIs" dxfId="1431" priority="9460" operator="between">
      <formula>0</formula>
      <formula>4</formula>
    </cfRule>
  </conditionalFormatting>
  <conditionalFormatting sqref="K92">
    <cfRule type="cellIs" dxfId="1430" priority="9442" operator="between">
      <formula>16</formula>
      <formula>25</formula>
    </cfRule>
    <cfRule type="cellIs" dxfId="1429" priority="9443" operator="between">
      <formula>10</formula>
      <formula>15</formula>
    </cfRule>
    <cfRule type="cellIs" dxfId="1428" priority="9444" operator="between">
      <formula>5</formula>
      <formula>9</formula>
    </cfRule>
    <cfRule type="cellIs" dxfId="1427" priority="9445" operator="between">
      <formula>0</formula>
      <formula>4</formula>
    </cfRule>
  </conditionalFormatting>
  <conditionalFormatting sqref="B92">
    <cfRule type="containsText" dxfId="1426" priority="9440" operator="containsText" text="WHS">
      <formula>NOT(ISERROR(SEARCH("WHS",B92)))</formula>
    </cfRule>
    <cfRule type="containsText" dxfId="1425" priority="9441" operator="containsText" text="Environment">
      <formula>NOT(ISERROR(SEARCH("Environment",B92)))</formula>
    </cfRule>
  </conditionalFormatting>
  <conditionalFormatting sqref="B92">
    <cfRule type="containsText" dxfId="1424" priority="9439" operator="containsText" text="Quality">
      <formula>NOT(ISERROR(SEARCH("Quality",B92)))</formula>
    </cfRule>
  </conditionalFormatting>
  <conditionalFormatting sqref="F92">
    <cfRule type="cellIs" dxfId="1423" priority="9446" operator="between">
      <formula>16</formula>
      <formula>25</formula>
    </cfRule>
    <cfRule type="cellIs" dxfId="1422" priority="9447" operator="between">
      <formula>10</formula>
      <formula>15</formula>
    </cfRule>
    <cfRule type="cellIs" dxfId="1421" priority="9448" operator="between">
      <formula>5</formula>
      <formula>9</formula>
    </cfRule>
    <cfRule type="cellIs" dxfId="1420" priority="9449" operator="between">
      <formula>0</formula>
      <formula>4</formula>
    </cfRule>
  </conditionalFormatting>
  <conditionalFormatting sqref="K93">
    <cfRule type="cellIs" dxfId="1419" priority="9431" operator="between">
      <formula>16</formula>
      <formula>25</formula>
    </cfRule>
    <cfRule type="cellIs" dxfId="1418" priority="9432" operator="between">
      <formula>10</formula>
      <formula>15</formula>
    </cfRule>
    <cfRule type="cellIs" dxfId="1417" priority="9433" operator="between">
      <formula>5</formula>
      <formula>9</formula>
    </cfRule>
    <cfRule type="cellIs" dxfId="1416" priority="9434" operator="between">
      <formula>0</formula>
      <formula>4</formula>
    </cfRule>
  </conditionalFormatting>
  <conditionalFormatting sqref="B93">
    <cfRule type="containsText" dxfId="1415" priority="9429" operator="containsText" text="WHS">
      <formula>NOT(ISERROR(SEARCH("WHS",B93)))</formula>
    </cfRule>
    <cfRule type="containsText" dxfId="1414" priority="9430" operator="containsText" text="Environment">
      <formula>NOT(ISERROR(SEARCH("Environment",B93)))</formula>
    </cfRule>
  </conditionalFormatting>
  <conditionalFormatting sqref="B93">
    <cfRule type="containsText" dxfId="1413" priority="9428" operator="containsText" text="Quality">
      <formula>NOT(ISERROR(SEARCH("Quality",B93)))</formula>
    </cfRule>
  </conditionalFormatting>
  <conditionalFormatting sqref="F93">
    <cfRule type="cellIs" dxfId="1412" priority="9435" operator="between">
      <formula>16</formula>
      <formula>25</formula>
    </cfRule>
    <cfRule type="cellIs" dxfId="1411" priority="9436" operator="between">
      <formula>10</formula>
      <formula>15</formula>
    </cfRule>
    <cfRule type="cellIs" dxfId="1410" priority="9437" operator="between">
      <formula>5</formula>
      <formula>9</formula>
    </cfRule>
    <cfRule type="cellIs" dxfId="1409" priority="9438" operator="between">
      <formula>0</formula>
      <formula>4</formula>
    </cfRule>
  </conditionalFormatting>
  <conditionalFormatting sqref="K48">
    <cfRule type="cellIs" dxfId="1408" priority="9409" operator="between">
      <formula>16</formula>
      <formula>25</formula>
    </cfRule>
    <cfRule type="cellIs" dxfId="1407" priority="9410" operator="between">
      <formula>10</formula>
      <formula>15</formula>
    </cfRule>
    <cfRule type="cellIs" dxfId="1406" priority="9411" operator="between">
      <formula>5</formula>
      <formula>9</formula>
    </cfRule>
    <cfRule type="cellIs" dxfId="1405" priority="9412" operator="between">
      <formula>0</formula>
      <formula>4</formula>
    </cfRule>
  </conditionalFormatting>
  <conditionalFormatting sqref="B48">
    <cfRule type="containsText" dxfId="1404" priority="9407" operator="containsText" text="WHS">
      <formula>NOT(ISERROR(SEARCH("WHS",B48)))</formula>
    </cfRule>
    <cfRule type="containsText" dxfId="1403" priority="9408" operator="containsText" text="Environment">
      <formula>NOT(ISERROR(SEARCH("Environment",B48)))</formula>
    </cfRule>
  </conditionalFormatting>
  <conditionalFormatting sqref="B48">
    <cfRule type="containsText" dxfId="1402" priority="9406" operator="containsText" text="Quality">
      <formula>NOT(ISERROR(SEARCH("Quality",B48)))</formula>
    </cfRule>
  </conditionalFormatting>
  <conditionalFormatting sqref="F48">
    <cfRule type="cellIs" dxfId="1401" priority="9413" operator="between">
      <formula>16</formula>
      <formula>25</formula>
    </cfRule>
    <cfRule type="cellIs" dxfId="1400" priority="9414" operator="between">
      <formula>10</formula>
      <formula>15</formula>
    </cfRule>
    <cfRule type="cellIs" dxfId="1399" priority="9415" operator="between">
      <formula>5</formula>
      <formula>9</formula>
    </cfRule>
    <cfRule type="cellIs" dxfId="1398" priority="9416" operator="between">
      <formula>0</formula>
      <formula>4</formula>
    </cfRule>
  </conditionalFormatting>
  <conditionalFormatting sqref="K49">
    <cfRule type="cellIs" dxfId="1397" priority="9398" operator="between">
      <formula>16</formula>
      <formula>25</formula>
    </cfRule>
    <cfRule type="cellIs" dxfId="1396" priority="9399" operator="between">
      <formula>10</formula>
      <formula>15</formula>
    </cfRule>
    <cfRule type="cellIs" dxfId="1395" priority="9400" operator="between">
      <formula>5</formula>
      <formula>9</formula>
    </cfRule>
    <cfRule type="cellIs" dxfId="1394" priority="9401" operator="between">
      <formula>0</formula>
      <formula>4</formula>
    </cfRule>
  </conditionalFormatting>
  <conditionalFormatting sqref="B49">
    <cfRule type="containsText" dxfId="1393" priority="9396" operator="containsText" text="WHS">
      <formula>NOT(ISERROR(SEARCH("WHS",B49)))</formula>
    </cfRule>
    <cfRule type="containsText" dxfId="1392" priority="9397" operator="containsText" text="Environment">
      <formula>NOT(ISERROR(SEARCH("Environment",B49)))</formula>
    </cfRule>
  </conditionalFormatting>
  <conditionalFormatting sqref="B49">
    <cfRule type="containsText" dxfId="1391" priority="9395" operator="containsText" text="Quality">
      <formula>NOT(ISERROR(SEARCH("Quality",B49)))</formula>
    </cfRule>
  </conditionalFormatting>
  <conditionalFormatting sqref="F49">
    <cfRule type="cellIs" dxfId="1390" priority="9402" operator="between">
      <formula>16</formula>
      <formula>25</formula>
    </cfRule>
    <cfRule type="cellIs" dxfId="1389" priority="9403" operator="between">
      <formula>10</formula>
      <formula>15</formula>
    </cfRule>
    <cfRule type="cellIs" dxfId="1388" priority="9404" operator="between">
      <formula>5</formula>
      <formula>9</formula>
    </cfRule>
    <cfRule type="cellIs" dxfId="1387" priority="9405" operator="between">
      <formula>0</formula>
      <formula>4</formula>
    </cfRule>
  </conditionalFormatting>
  <conditionalFormatting sqref="K50">
    <cfRule type="cellIs" dxfId="1386" priority="9387" operator="between">
      <formula>16</formula>
      <formula>25</formula>
    </cfRule>
    <cfRule type="cellIs" dxfId="1385" priority="9388" operator="between">
      <formula>10</formula>
      <formula>15</formula>
    </cfRule>
    <cfRule type="cellIs" dxfId="1384" priority="9389" operator="between">
      <formula>5</formula>
      <formula>9</formula>
    </cfRule>
    <cfRule type="cellIs" dxfId="1383" priority="9390" operator="between">
      <formula>0</formula>
      <formula>4</formula>
    </cfRule>
  </conditionalFormatting>
  <conditionalFormatting sqref="B50">
    <cfRule type="containsText" dxfId="1382" priority="9385" operator="containsText" text="WHS">
      <formula>NOT(ISERROR(SEARCH("WHS",B50)))</formula>
    </cfRule>
    <cfRule type="containsText" dxfId="1381" priority="9386" operator="containsText" text="Environment">
      <formula>NOT(ISERROR(SEARCH("Environment",B50)))</formula>
    </cfRule>
  </conditionalFormatting>
  <conditionalFormatting sqref="B50">
    <cfRule type="containsText" dxfId="1380" priority="9384" operator="containsText" text="Quality">
      <formula>NOT(ISERROR(SEARCH("Quality",B50)))</formula>
    </cfRule>
  </conditionalFormatting>
  <conditionalFormatting sqref="F50">
    <cfRule type="cellIs" dxfId="1379" priority="9391" operator="between">
      <formula>16</formula>
      <formula>25</formula>
    </cfRule>
    <cfRule type="cellIs" dxfId="1378" priority="9392" operator="between">
      <formula>10</formula>
      <formula>15</formula>
    </cfRule>
    <cfRule type="cellIs" dxfId="1377" priority="9393" operator="between">
      <formula>5</formula>
      <formula>9</formula>
    </cfRule>
    <cfRule type="cellIs" dxfId="1376" priority="9394" operator="between">
      <formula>0</formula>
      <formula>4</formula>
    </cfRule>
  </conditionalFormatting>
  <conditionalFormatting sqref="K51">
    <cfRule type="cellIs" dxfId="1375" priority="9376" operator="between">
      <formula>16</formula>
      <formula>25</formula>
    </cfRule>
    <cfRule type="cellIs" dxfId="1374" priority="9377" operator="between">
      <formula>10</formula>
      <formula>15</formula>
    </cfRule>
    <cfRule type="cellIs" dxfId="1373" priority="9378" operator="between">
      <formula>5</formula>
      <formula>9</formula>
    </cfRule>
    <cfRule type="cellIs" dxfId="1372" priority="9379" operator="between">
      <formula>0</formula>
      <formula>4</formula>
    </cfRule>
  </conditionalFormatting>
  <conditionalFormatting sqref="B51">
    <cfRule type="containsText" dxfId="1371" priority="9374" operator="containsText" text="WHS">
      <formula>NOT(ISERROR(SEARCH("WHS",B51)))</formula>
    </cfRule>
    <cfRule type="containsText" dxfId="1370" priority="9375" operator="containsText" text="Environment">
      <formula>NOT(ISERROR(SEARCH("Environment",B51)))</formula>
    </cfRule>
  </conditionalFormatting>
  <conditionalFormatting sqref="B51">
    <cfRule type="containsText" dxfId="1369" priority="9373" operator="containsText" text="Quality">
      <formula>NOT(ISERROR(SEARCH("Quality",B51)))</formula>
    </cfRule>
  </conditionalFormatting>
  <conditionalFormatting sqref="F51">
    <cfRule type="cellIs" dxfId="1368" priority="9380" operator="between">
      <formula>16</formula>
      <formula>25</formula>
    </cfRule>
    <cfRule type="cellIs" dxfId="1367" priority="9381" operator="between">
      <formula>10</formula>
      <formula>15</formula>
    </cfRule>
    <cfRule type="cellIs" dxfId="1366" priority="9382" operator="between">
      <formula>5</formula>
      <formula>9</formula>
    </cfRule>
    <cfRule type="cellIs" dxfId="1365" priority="9383" operator="between">
      <formula>0</formula>
      <formula>4</formula>
    </cfRule>
  </conditionalFormatting>
  <conditionalFormatting sqref="K52">
    <cfRule type="cellIs" dxfId="1364" priority="9365" operator="between">
      <formula>16</formula>
      <formula>25</formula>
    </cfRule>
    <cfRule type="cellIs" dxfId="1363" priority="9366" operator="between">
      <formula>10</formula>
      <formula>15</formula>
    </cfRule>
    <cfRule type="cellIs" dxfId="1362" priority="9367" operator="between">
      <formula>5</formula>
      <formula>9</formula>
    </cfRule>
    <cfRule type="cellIs" dxfId="1361" priority="9368" operator="between">
      <formula>0</formula>
      <formula>4</formula>
    </cfRule>
  </conditionalFormatting>
  <conditionalFormatting sqref="B52">
    <cfRule type="containsText" dxfId="1360" priority="9363" operator="containsText" text="WHS">
      <formula>NOT(ISERROR(SEARCH("WHS",B52)))</formula>
    </cfRule>
    <cfRule type="containsText" dxfId="1359" priority="9364" operator="containsText" text="Environment">
      <formula>NOT(ISERROR(SEARCH("Environment",B52)))</formula>
    </cfRule>
  </conditionalFormatting>
  <conditionalFormatting sqref="B52">
    <cfRule type="containsText" dxfId="1358" priority="9362" operator="containsText" text="Quality">
      <formula>NOT(ISERROR(SEARCH("Quality",B52)))</formula>
    </cfRule>
  </conditionalFormatting>
  <conditionalFormatting sqref="F52">
    <cfRule type="cellIs" dxfId="1357" priority="9369" operator="between">
      <formula>16</formula>
      <formula>25</formula>
    </cfRule>
    <cfRule type="cellIs" dxfId="1356" priority="9370" operator="between">
      <formula>10</formula>
      <formula>15</formula>
    </cfRule>
    <cfRule type="cellIs" dxfId="1355" priority="9371" operator="between">
      <formula>5</formula>
      <formula>9</formula>
    </cfRule>
    <cfRule type="cellIs" dxfId="1354" priority="9372" operator="between">
      <formula>0</formula>
      <formula>4</formula>
    </cfRule>
  </conditionalFormatting>
  <conditionalFormatting sqref="K53">
    <cfRule type="cellIs" dxfId="1353" priority="9354" operator="between">
      <formula>16</formula>
      <formula>25</formula>
    </cfRule>
    <cfRule type="cellIs" dxfId="1352" priority="9355" operator="between">
      <formula>10</formula>
      <formula>15</formula>
    </cfRule>
    <cfRule type="cellIs" dxfId="1351" priority="9356" operator="between">
      <formula>5</formula>
      <formula>9</formula>
    </cfRule>
    <cfRule type="cellIs" dxfId="1350" priority="9357" operator="between">
      <formula>0</formula>
      <formula>4</formula>
    </cfRule>
  </conditionalFormatting>
  <conditionalFormatting sqref="B53">
    <cfRule type="containsText" dxfId="1349" priority="9352" operator="containsText" text="WHS">
      <formula>NOT(ISERROR(SEARCH("WHS",B53)))</formula>
    </cfRule>
    <cfRule type="containsText" dxfId="1348" priority="9353" operator="containsText" text="Environment">
      <formula>NOT(ISERROR(SEARCH("Environment",B53)))</formula>
    </cfRule>
  </conditionalFormatting>
  <conditionalFormatting sqref="B53">
    <cfRule type="containsText" dxfId="1347" priority="9351" operator="containsText" text="Quality">
      <formula>NOT(ISERROR(SEARCH("Quality",B53)))</formula>
    </cfRule>
  </conditionalFormatting>
  <conditionalFormatting sqref="F53">
    <cfRule type="cellIs" dxfId="1346" priority="9358" operator="between">
      <formula>16</formula>
      <formula>25</formula>
    </cfRule>
    <cfRule type="cellIs" dxfId="1345" priority="9359" operator="between">
      <formula>10</formula>
      <formula>15</formula>
    </cfRule>
    <cfRule type="cellIs" dxfId="1344" priority="9360" operator="between">
      <formula>5</formula>
      <formula>9</formula>
    </cfRule>
    <cfRule type="cellIs" dxfId="1343" priority="9361" operator="between">
      <formula>0</formula>
      <formula>4</formula>
    </cfRule>
  </conditionalFormatting>
  <conditionalFormatting sqref="K54">
    <cfRule type="cellIs" dxfId="1342" priority="9343" operator="between">
      <formula>16</formula>
      <formula>25</formula>
    </cfRule>
    <cfRule type="cellIs" dxfId="1341" priority="9344" operator="between">
      <formula>10</formula>
      <formula>15</formula>
    </cfRule>
    <cfRule type="cellIs" dxfId="1340" priority="9345" operator="between">
      <formula>5</formula>
      <formula>9</formula>
    </cfRule>
    <cfRule type="cellIs" dxfId="1339" priority="9346" operator="between">
      <formula>0</formula>
      <formula>4</formula>
    </cfRule>
  </conditionalFormatting>
  <conditionalFormatting sqref="B54">
    <cfRule type="containsText" dxfId="1338" priority="9341" operator="containsText" text="WHS">
      <formula>NOT(ISERROR(SEARCH("WHS",B54)))</formula>
    </cfRule>
    <cfRule type="containsText" dxfId="1337" priority="9342" operator="containsText" text="Environment">
      <formula>NOT(ISERROR(SEARCH("Environment",B54)))</formula>
    </cfRule>
  </conditionalFormatting>
  <conditionalFormatting sqref="B54">
    <cfRule type="containsText" dxfId="1336" priority="9340" operator="containsText" text="Quality">
      <formula>NOT(ISERROR(SEARCH("Quality",B54)))</formula>
    </cfRule>
  </conditionalFormatting>
  <conditionalFormatting sqref="F54">
    <cfRule type="cellIs" dxfId="1335" priority="9347" operator="between">
      <formula>16</formula>
      <formula>25</formula>
    </cfRule>
    <cfRule type="cellIs" dxfId="1334" priority="9348" operator="between">
      <formula>10</formula>
      <formula>15</formula>
    </cfRule>
    <cfRule type="cellIs" dxfId="1333" priority="9349" operator="between">
      <formula>5</formula>
      <formula>9</formula>
    </cfRule>
    <cfRule type="cellIs" dxfId="1332" priority="9350" operator="between">
      <formula>0</formula>
      <formula>4</formula>
    </cfRule>
  </conditionalFormatting>
  <conditionalFormatting sqref="K55">
    <cfRule type="cellIs" dxfId="1331" priority="9332" operator="between">
      <formula>16</formula>
      <formula>25</formula>
    </cfRule>
    <cfRule type="cellIs" dxfId="1330" priority="9333" operator="between">
      <formula>10</formula>
      <formula>15</formula>
    </cfRule>
    <cfRule type="cellIs" dxfId="1329" priority="9334" operator="between">
      <formula>5</formula>
      <formula>9</formula>
    </cfRule>
    <cfRule type="cellIs" dxfId="1328" priority="9335" operator="between">
      <formula>0</formula>
      <formula>4</formula>
    </cfRule>
  </conditionalFormatting>
  <conditionalFormatting sqref="B55">
    <cfRule type="containsText" dxfId="1327" priority="9330" operator="containsText" text="WHS">
      <formula>NOT(ISERROR(SEARCH("WHS",B55)))</formula>
    </cfRule>
    <cfRule type="containsText" dxfId="1326" priority="9331" operator="containsText" text="Environment">
      <formula>NOT(ISERROR(SEARCH("Environment",B55)))</formula>
    </cfRule>
  </conditionalFormatting>
  <conditionalFormatting sqref="B55">
    <cfRule type="containsText" dxfId="1325" priority="9329" operator="containsText" text="Quality">
      <formula>NOT(ISERROR(SEARCH("Quality",B55)))</formula>
    </cfRule>
  </conditionalFormatting>
  <conditionalFormatting sqref="F55">
    <cfRule type="cellIs" dxfId="1324" priority="9336" operator="between">
      <formula>16</formula>
      <formula>25</formula>
    </cfRule>
    <cfRule type="cellIs" dxfId="1323" priority="9337" operator="between">
      <formula>10</formula>
      <formula>15</formula>
    </cfRule>
    <cfRule type="cellIs" dxfId="1322" priority="9338" operator="between">
      <formula>5</formula>
      <formula>9</formula>
    </cfRule>
    <cfRule type="cellIs" dxfId="1321" priority="9339" operator="between">
      <formula>0</formula>
      <formula>4</formula>
    </cfRule>
  </conditionalFormatting>
  <conditionalFormatting sqref="K1">
    <cfRule type="cellIs" dxfId="1320" priority="510" operator="between">
      <formula>16</formula>
      <formula>25</formula>
    </cfRule>
    <cfRule type="cellIs" dxfId="1319" priority="511" operator="between">
      <formula>10</formula>
      <formula>15</formula>
    </cfRule>
    <cfRule type="cellIs" dxfId="1318" priority="512" operator="between">
      <formula>5</formula>
      <formula>9</formula>
    </cfRule>
    <cfRule type="cellIs" dxfId="1317" priority="513" operator="between">
      <formula>0</formula>
      <formula>4</formula>
    </cfRule>
  </conditionalFormatting>
  <conditionalFormatting sqref="B1">
    <cfRule type="containsText" dxfId="1316" priority="508" operator="containsText" text="WHS">
      <formula>NOT(ISERROR(SEARCH("WHS",B1)))</formula>
    </cfRule>
    <cfRule type="containsText" dxfId="1315" priority="509" operator="containsText" text="Environment">
      <formula>NOT(ISERROR(SEARCH("Environment",B1)))</formula>
    </cfRule>
  </conditionalFormatting>
  <conditionalFormatting sqref="B1">
    <cfRule type="containsText" dxfId="1314" priority="507" operator="containsText" text="Quality">
      <formula>NOT(ISERROR(SEARCH("Quality",B1)))</formula>
    </cfRule>
  </conditionalFormatting>
  <conditionalFormatting sqref="F1">
    <cfRule type="cellIs" dxfId="1313" priority="514" operator="between">
      <formula>16</formula>
      <formula>25</formula>
    </cfRule>
    <cfRule type="cellIs" dxfId="1312" priority="515" operator="between">
      <formula>10</formula>
      <formula>15</formula>
    </cfRule>
    <cfRule type="cellIs" dxfId="1311" priority="516" operator="between">
      <formula>5</formula>
      <formula>9</formula>
    </cfRule>
    <cfRule type="cellIs" dxfId="1310" priority="517" operator="between">
      <formula>0</formula>
      <formula>4</formula>
    </cfRule>
  </conditionalFormatting>
  <conditionalFormatting sqref="K2">
    <cfRule type="cellIs" dxfId="1309" priority="499" operator="between">
      <formula>16</formula>
      <formula>25</formula>
    </cfRule>
    <cfRule type="cellIs" dxfId="1308" priority="500" operator="between">
      <formula>10</formula>
      <formula>15</formula>
    </cfRule>
    <cfRule type="cellIs" dxfId="1307" priority="501" operator="between">
      <formula>5</formula>
      <formula>9</formula>
    </cfRule>
    <cfRule type="cellIs" dxfId="1306" priority="502" operator="between">
      <formula>0</formula>
      <formula>4</formula>
    </cfRule>
  </conditionalFormatting>
  <conditionalFormatting sqref="B2">
    <cfRule type="containsText" dxfId="1305" priority="497" operator="containsText" text="WHS">
      <formula>NOT(ISERROR(SEARCH("WHS",B2)))</formula>
    </cfRule>
    <cfRule type="containsText" dxfId="1304" priority="498" operator="containsText" text="Environment">
      <formula>NOT(ISERROR(SEARCH("Environment",B2)))</formula>
    </cfRule>
  </conditionalFormatting>
  <conditionalFormatting sqref="B2">
    <cfRule type="containsText" dxfId="1303" priority="496" operator="containsText" text="Quality">
      <formula>NOT(ISERROR(SEARCH("Quality",B2)))</formula>
    </cfRule>
  </conditionalFormatting>
  <conditionalFormatting sqref="F2">
    <cfRule type="cellIs" dxfId="1302" priority="503" operator="between">
      <formula>16</formula>
      <formula>25</formula>
    </cfRule>
    <cfRule type="cellIs" dxfId="1301" priority="504" operator="between">
      <formula>10</formula>
      <formula>15</formula>
    </cfRule>
    <cfRule type="cellIs" dxfId="1300" priority="505" operator="between">
      <formula>5</formula>
      <formula>9</formula>
    </cfRule>
    <cfRule type="cellIs" dxfId="1299" priority="506" operator="between">
      <formula>0</formula>
      <formula>4</formula>
    </cfRule>
  </conditionalFormatting>
  <conditionalFormatting sqref="K3">
    <cfRule type="cellIs" dxfId="1298" priority="488" operator="between">
      <formula>16</formula>
      <formula>25</formula>
    </cfRule>
    <cfRule type="cellIs" dxfId="1297" priority="489" operator="between">
      <formula>10</formula>
      <formula>15</formula>
    </cfRule>
    <cfRule type="cellIs" dxfId="1296" priority="490" operator="between">
      <formula>5</formula>
      <formula>9</formula>
    </cfRule>
    <cfRule type="cellIs" dxfId="1295" priority="491" operator="between">
      <formula>0</formula>
      <formula>4</formula>
    </cfRule>
  </conditionalFormatting>
  <conditionalFormatting sqref="B3">
    <cfRule type="containsText" dxfId="1294" priority="486" operator="containsText" text="WHS">
      <formula>NOT(ISERROR(SEARCH("WHS",B3)))</formula>
    </cfRule>
    <cfRule type="containsText" dxfId="1293" priority="487" operator="containsText" text="Environment">
      <formula>NOT(ISERROR(SEARCH("Environment",B3)))</formula>
    </cfRule>
  </conditionalFormatting>
  <conditionalFormatting sqref="B3">
    <cfRule type="containsText" dxfId="1292" priority="485" operator="containsText" text="Quality">
      <formula>NOT(ISERROR(SEARCH("Quality",B3)))</formula>
    </cfRule>
  </conditionalFormatting>
  <conditionalFormatting sqref="F3">
    <cfRule type="cellIs" dxfId="1291" priority="492" operator="between">
      <formula>16</formula>
      <formula>25</formula>
    </cfRule>
    <cfRule type="cellIs" dxfId="1290" priority="493" operator="between">
      <formula>10</formula>
      <formula>15</formula>
    </cfRule>
    <cfRule type="cellIs" dxfId="1289" priority="494" operator="between">
      <formula>5</formula>
      <formula>9</formula>
    </cfRule>
    <cfRule type="cellIs" dxfId="1288" priority="495" operator="between">
      <formula>0</formula>
      <formula>4</formula>
    </cfRule>
  </conditionalFormatting>
  <conditionalFormatting sqref="K4">
    <cfRule type="cellIs" dxfId="1287" priority="477" operator="between">
      <formula>16</formula>
      <formula>25</formula>
    </cfRule>
    <cfRule type="cellIs" dxfId="1286" priority="478" operator="between">
      <formula>10</formula>
      <formula>15</formula>
    </cfRule>
    <cfRule type="cellIs" dxfId="1285" priority="479" operator="between">
      <formula>5</formula>
      <formula>9</formula>
    </cfRule>
    <cfRule type="cellIs" dxfId="1284" priority="480" operator="between">
      <formula>0</formula>
      <formula>4</formula>
    </cfRule>
  </conditionalFormatting>
  <conditionalFormatting sqref="B4">
    <cfRule type="containsText" dxfId="1283" priority="475" operator="containsText" text="WHS">
      <formula>NOT(ISERROR(SEARCH("WHS",B4)))</formula>
    </cfRule>
    <cfRule type="containsText" dxfId="1282" priority="476" operator="containsText" text="Environment">
      <formula>NOT(ISERROR(SEARCH("Environment",B4)))</formula>
    </cfRule>
  </conditionalFormatting>
  <conditionalFormatting sqref="B4">
    <cfRule type="containsText" dxfId="1281" priority="474" operator="containsText" text="Quality">
      <formula>NOT(ISERROR(SEARCH("Quality",B4)))</formula>
    </cfRule>
  </conditionalFormatting>
  <conditionalFormatting sqref="F4">
    <cfRule type="cellIs" dxfId="1280" priority="481" operator="between">
      <formula>16</formula>
      <formula>25</formula>
    </cfRule>
    <cfRule type="cellIs" dxfId="1279" priority="482" operator="between">
      <formula>10</formula>
      <formula>15</formula>
    </cfRule>
    <cfRule type="cellIs" dxfId="1278" priority="483" operator="between">
      <formula>5</formula>
      <formula>9</formula>
    </cfRule>
    <cfRule type="cellIs" dxfId="1277" priority="484" operator="between">
      <formula>0</formula>
      <formula>4</formula>
    </cfRule>
  </conditionalFormatting>
  <conditionalFormatting sqref="K5">
    <cfRule type="cellIs" dxfId="1276" priority="466" operator="between">
      <formula>16</formula>
      <formula>25</formula>
    </cfRule>
    <cfRule type="cellIs" dxfId="1275" priority="467" operator="between">
      <formula>10</formula>
      <formula>15</formula>
    </cfRule>
    <cfRule type="cellIs" dxfId="1274" priority="468" operator="between">
      <formula>5</formula>
      <formula>9</formula>
    </cfRule>
    <cfRule type="cellIs" dxfId="1273" priority="469" operator="between">
      <formula>0</formula>
      <formula>4</formula>
    </cfRule>
  </conditionalFormatting>
  <conditionalFormatting sqref="B5">
    <cfRule type="containsText" dxfId="1272" priority="464" operator="containsText" text="WHS">
      <formula>NOT(ISERROR(SEARCH("WHS",B5)))</formula>
    </cfRule>
    <cfRule type="containsText" dxfId="1271" priority="465" operator="containsText" text="Environment">
      <formula>NOT(ISERROR(SEARCH("Environment",B5)))</formula>
    </cfRule>
  </conditionalFormatting>
  <conditionalFormatting sqref="B5">
    <cfRule type="containsText" dxfId="1270" priority="463" operator="containsText" text="Quality">
      <formula>NOT(ISERROR(SEARCH("Quality",B5)))</formula>
    </cfRule>
  </conditionalFormatting>
  <conditionalFormatting sqref="F5">
    <cfRule type="cellIs" dxfId="1269" priority="470" operator="between">
      <formula>16</formula>
      <formula>25</formula>
    </cfRule>
    <cfRule type="cellIs" dxfId="1268" priority="471" operator="between">
      <formula>10</formula>
      <formula>15</formula>
    </cfRule>
    <cfRule type="cellIs" dxfId="1267" priority="472" operator="between">
      <formula>5</formula>
      <formula>9</formula>
    </cfRule>
    <cfRule type="cellIs" dxfId="1266" priority="473" operator="between">
      <formula>0</formula>
      <formula>4</formula>
    </cfRule>
  </conditionalFormatting>
  <conditionalFormatting sqref="K6">
    <cfRule type="cellIs" dxfId="1265" priority="455" operator="between">
      <formula>16</formula>
      <formula>25</formula>
    </cfRule>
    <cfRule type="cellIs" dxfId="1264" priority="456" operator="between">
      <formula>10</formula>
      <formula>15</formula>
    </cfRule>
    <cfRule type="cellIs" dxfId="1263" priority="457" operator="between">
      <formula>5</formula>
      <formula>9</formula>
    </cfRule>
    <cfRule type="cellIs" dxfId="1262" priority="458" operator="between">
      <formula>0</formula>
      <formula>4</formula>
    </cfRule>
  </conditionalFormatting>
  <conditionalFormatting sqref="B6">
    <cfRule type="containsText" dxfId="1261" priority="453" operator="containsText" text="WHS">
      <formula>NOT(ISERROR(SEARCH("WHS",B6)))</formula>
    </cfRule>
    <cfRule type="containsText" dxfId="1260" priority="454" operator="containsText" text="Environment">
      <formula>NOT(ISERROR(SEARCH("Environment",B6)))</formula>
    </cfRule>
  </conditionalFormatting>
  <conditionalFormatting sqref="B6">
    <cfRule type="containsText" dxfId="1259" priority="452" operator="containsText" text="Quality">
      <formula>NOT(ISERROR(SEARCH("Quality",B6)))</formula>
    </cfRule>
  </conditionalFormatting>
  <conditionalFormatting sqref="F6">
    <cfRule type="cellIs" dxfId="1258" priority="459" operator="between">
      <formula>16</formula>
      <formula>25</formula>
    </cfRule>
    <cfRule type="cellIs" dxfId="1257" priority="460" operator="between">
      <formula>10</formula>
      <formula>15</formula>
    </cfRule>
    <cfRule type="cellIs" dxfId="1256" priority="461" operator="between">
      <formula>5</formula>
      <formula>9</formula>
    </cfRule>
    <cfRule type="cellIs" dxfId="1255" priority="462" operator="between">
      <formula>0</formula>
      <formula>4</formula>
    </cfRule>
  </conditionalFormatting>
  <conditionalFormatting sqref="K7">
    <cfRule type="cellIs" dxfId="1254" priority="444" operator="between">
      <formula>16</formula>
      <formula>25</formula>
    </cfRule>
    <cfRule type="cellIs" dxfId="1253" priority="445" operator="between">
      <formula>10</formula>
      <formula>15</formula>
    </cfRule>
    <cfRule type="cellIs" dxfId="1252" priority="446" operator="between">
      <formula>5</formula>
      <formula>9</formula>
    </cfRule>
    <cfRule type="cellIs" dxfId="1251" priority="447" operator="between">
      <formula>0</formula>
      <formula>4</formula>
    </cfRule>
  </conditionalFormatting>
  <conditionalFormatting sqref="B7">
    <cfRule type="containsText" dxfId="1250" priority="442" operator="containsText" text="WHS">
      <formula>NOT(ISERROR(SEARCH("WHS",B7)))</formula>
    </cfRule>
    <cfRule type="containsText" dxfId="1249" priority="443" operator="containsText" text="Environment">
      <formula>NOT(ISERROR(SEARCH("Environment",B7)))</formula>
    </cfRule>
  </conditionalFormatting>
  <conditionalFormatting sqref="B7">
    <cfRule type="containsText" dxfId="1248" priority="441" operator="containsText" text="Quality">
      <formula>NOT(ISERROR(SEARCH("Quality",B7)))</formula>
    </cfRule>
  </conditionalFormatting>
  <conditionalFormatting sqref="F7">
    <cfRule type="cellIs" dxfId="1247" priority="448" operator="between">
      <formula>16</formula>
      <formula>25</formula>
    </cfRule>
    <cfRule type="cellIs" dxfId="1246" priority="449" operator="between">
      <formula>10</formula>
      <formula>15</formula>
    </cfRule>
    <cfRule type="cellIs" dxfId="1245" priority="450" operator="between">
      <formula>5</formula>
      <formula>9</formula>
    </cfRule>
    <cfRule type="cellIs" dxfId="1244" priority="451" operator="between">
      <formula>0</formula>
      <formula>4</formula>
    </cfRule>
  </conditionalFormatting>
  <conditionalFormatting sqref="K8">
    <cfRule type="cellIs" dxfId="1243" priority="433" operator="between">
      <formula>16</formula>
      <formula>25</formula>
    </cfRule>
    <cfRule type="cellIs" dxfId="1242" priority="434" operator="between">
      <formula>10</formula>
      <formula>15</formula>
    </cfRule>
    <cfRule type="cellIs" dxfId="1241" priority="435" operator="between">
      <formula>5</formula>
      <formula>9</formula>
    </cfRule>
    <cfRule type="cellIs" dxfId="1240" priority="436" operator="between">
      <formula>0</formula>
      <formula>4</formula>
    </cfRule>
  </conditionalFormatting>
  <conditionalFormatting sqref="B8">
    <cfRule type="containsText" dxfId="1239" priority="431" operator="containsText" text="WHS">
      <formula>NOT(ISERROR(SEARCH("WHS",B8)))</formula>
    </cfRule>
    <cfRule type="containsText" dxfId="1238" priority="432" operator="containsText" text="Environment">
      <formula>NOT(ISERROR(SEARCH("Environment",B8)))</formula>
    </cfRule>
  </conditionalFormatting>
  <conditionalFormatting sqref="B8">
    <cfRule type="containsText" dxfId="1237" priority="430" operator="containsText" text="Quality">
      <formula>NOT(ISERROR(SEARCH("Quality",B8)))</formula>
    </cfRule>
  </conditionalFormatting>
  <conditionalFormatting sqref="F8">
    <cfRule type="cellIs" dxfId="1236" priority="437" operator="between">
      <formula>16</formula>
      <formula>25</formula>
    </cfRule>
    <cfRule type="cellIs" dxfId="1235" priority="438" operator="between">
      <formula>10</formula>
      <formula>15</formula>
    </cfRule>
    <cfRule type="cellIs" dxfId="1234" priority="439" operator="between">
      <formula>5</formula>
      <formula>9</formula>
    </cfRule>
    <cfRule type="cellIs" dxfId="1233" priority="440" operator="between">
      <formula>0</formula>
      <formula>4</formula>
    </cfRule>
  </conditionalFormatting>
  <conditionalFormatting sqref="K9">
    <cfRule type="cellIs" dxfId="1232" priority="422" operator="between">
      <formula>16</formula>
      <formula>25</formula>
    </cfRule>
    <cfRule type="cellIs" dxfId="1231" priority="423" operator="between">
      <formula>10</formula>
      <formula>15</formula>
    </cfRule>
    <cfRule type="cellIs" dxfId="1230" priority="424" operator="between">
      <formula>5</formula>
      <formula>9</formula>
    </cfRule>
    <cfRule type="cellIs" dxfId="1229" priority="425" operator="between">
      <formula>0</formula>
      <formula>4</formula>
    </cfRule>
  </conditionalFormatting>
  <conditionalFormatting sqref="B9">
    <cfRule type="containsText" dxfId="1228" priority="420" operator="containsText" text="WHS">
      <formula>NOT(ISERROR(SEARCH("WHS",B9)))</formula>
    </cfRule>
    <cfRule type="containsText" dxfId="1227" priority="421" operator="containsText" text="Environment">
      <formula>NOT(ISERROR(SEARCH("Environment",B9)))</formula>
    </cfRule>
  </conditionalFormatting>
  <conditionalFormatting sqref="B9">
    <cfRule type="containsText" dxfId="1226" priority="419" operator="containsText" text="Quality">
      <formula>NOT(ISERROR(SEARCH("Quality",B9)))</formula>
    </cfRule>
  </conditionalFormatting>
  <conditionalFormatting sqref="F9">
    <cfRule type="cellIs" dxfId="1225" priority="426" operator="between">
      <formula>16</formula>
      <formula>25</formula>
    </cfRule>
    <cfRule type="cellIs" dxfId="1224" priority="427" operator="between">
      <formula>10</formula>
      <formula>15</formula>
    </cfRule>
    <cfRule type="cellIs" dxfId="1223" priority="428" operator="between">
      <formula>5</formula>
      <formula>9</formula>
    </cfRule>
    <cfRule type="cellIs" dxfId="1222" priority="429" operator="between">
      <formula>0</formula>
      <formula>4</formula>
    </cfRule>
  </conditionalFormatting>
  <conditionalFormatting sqref="K10">
    <cfRule type="cellIs" dxfId="1221" priority="411" operator="between">
      <formula>16</formula>
      <formula>25</formula>
    </cfRule>
    <cfRule type="cellIs" dxfId="1220" priority="412" operator="between">
      <formula>10</formula>
      <formula>15</formula>
    </cfRule>
    <cfRule type="cellIs" dxfId="1219" priority="413" operator="between">
      <formula>5</formula>
      <formula>9</formula>
    </cfRule>
    <cfRule type="cellIs" dxfId="1218" priority="414" operator="between">
      <formula>0</formula>
      <formula>4</formula>
    </cfRule>
  </conditionalFormatting>
  <conditionalFormatting sqref="B10">
    <cfRule type="containsText" dxfId="1217" priority="409" operator="containsText" text="WHS">
      <formula>NOT(ISERROR(SEARCH("WHS",B10)))</formula>
    </cfRule>
    <cfRule type="containsText" dxfId="1216" priority="410" operator="containsText" text="Environment">
      <formula>NOT(ISERROR(SEARCH("Environment",B10)))</formula>
    </cfRule>
  </conditionalFormatting>
  <conditionalFormatting sqref="B10">
    <cfRule type="containsText" dxfId="1215" priority="408" operator="containsText" text="Quality">
      <formula>NOT(ISERROR(SEARCH("Quality",B10)))</formula>
    </cfRule>
  </conditionalFormatting>
  <conditionalFormatting sqref="F10">
    <cfRule type="cellIs" dxfId="1214" priority="415" operator="between">
      <formula>16</formula>
      <formula>25</formula>
    </cfRule>
    <cfRule type="cellIs" dxfId="1213" priority="416" operator="between">
      <formula>10</formula>
      <formula>15</formula>
    </cfRule>
    <cfRule type="cellIs" dxfId="1212" priority="417" operator="between">
      <formula>5</formula>
      <formula>9</formula>
    </cfRule>
    <cfRule type="cellIs" dxfId="1211" priority="418" operator="between">
      <formula>0</formula>
      <formula>4</formula>
    </cfRule>
  </conditionalFormatting>
  <conditionalFormatting sqref="K11">
    <cfRule type="cellIs" dxfId="1210" priority="400" operator="between">
      <formula>16</formula>
      <formula>25</formula>
    </cfRule>
    <cfRule type="cellIs" dxfId="1209" priority="401" operator="between">
      <formula>10</formula>
      <formula>15</formula>
    </cfRule>
    <cfRule type="cellIs" dxfId="1208" priority="402" operator="between">
      <formula>5</formula>
      <formula>9</formula>
    </cfRule>
    <cfRule type="cellIs" dxfId="1207" priority="403" operator="between">
      <formula>0</formula>
      <formula>4</formula>
    </cfRule>
  </conditionalFormatting>
  <conditionalFormatting sqref="B11">
    <cfRule type="containsText" dxfId="1206" priority="398" operator="containsText" text="WHS">
      <formula>NOT(ISERROR(SEARCH("WHS",B11)))</formula>
    </cfRule>
    <cfRule type="containsText" dxfId="1205" priority="399" operator="containsText" text="Environment">
      <formula>NOT(ISERROR(SEARCH("Environment",B11)))</formula>
    </cfRule>
  </conditionalFormatting>
  <conditionalFormatting sqref="B11">
    <cfRule type="containsText" dxfId="1204" priority="397" operator="containsText" text="Quality">
      <formula>NOT(ISERROR(SEARCH("Quality",B11)))</formula>
    </cfRule>
  </conditionalFormatting>
  <conditionalFormatting sqref="F11">
    <cfRule type="cellIs" dxfId="1203" priority="404" operator="between">
      <formula>16</formula>
      <formula>25</formula>
    </cfRule>
    <cfRule type="cellIs" dxfId="1202" priority="405" operator="between">
      <formula>10</formula>
      <formula>15</formula>
    </cfRule>
    <cfRule type="cellIs" dxfId="1201" priority="406" operator="between">
      <formula>5</formula>
      <formula>9</formula>
    </cfRule>
    <cfRule type="cellIs" dxfId="1200" priority="407" operator="between">
      <formula>0</formula>
      <formula>4</formula>
    </cfRule>
  </conditionalFormatting>
  <conditionalFormatting sqref="K12">
    <cfRule type="cellIs" dxfId="1199" priority="389" operator="between">
      <formula>16</formula>
      <formula>25</formula>
    </cfRule>
    <cfRule type="cellIs" dxfId="1198" priority="390" operator="between">
      <formula>10</formula>
      <formula>15</formula>
    </cfRule>
    <cfRule type="cellIs" dxfId="1197" priority="391" operator="between">
      <formula>5</formula>
      <formula>9</formula>
    </cfRule>
    <cfRule type="cellIs" dxfId="1196" priority="392" operator="between">
      <formula>0</formula>
      <formula>4</formula>
    </cfRule>
  </conditionalFormatting>
  <conditionalFormatting sqref="B12">
    <cfRule type="containsText" dxfId="1195" priority="387" operator="containsText" text="WHS">
      <formula>NOT(ISERROR(SEARCH("WHS",B12)))</formula>
    </cfRule>
    <cfRule type="containsText" dxfId="1194" priority="388" operator="containsText" text="Environment">
      <formula>NOT(ISERROR(SEARCH("Environment",B12)))</formula>
    </cfRule>
  </conditionalFormatting>
  <conditionalFormatting sqref="B12">
    <cfRule type="containsText" dxfId="1193" priority="386" operator="containsText" text="Quality">
      <formula>NOT(ISERROR(SEARCH("Quality",B12)))</formula>
    </cfRule>
  </conditionalFormatting>
  <conditionalFormatting sqref="F12">
    <cfRule type="cellIs" dxfId="1192" priority="393" operator="between">
      <formula>16</formula>
      <formula>25</formula>
    </cfRule>
    <cfRule type="cellIs" dxfId="1191" priority="394" operator="between">
      <formula>10</formula>
      <formula>15</formula>
    </cfRule>
    <cfRule type="cellIs" dxfId="1190" priority="395" operator="between">
      <formula>5</formula>
      <formula>9</formula>
    </cfRule>
    <cfRule type="cellIs" dxfId="1189" priority="396" operator="between">
      <formula>0</formula>
      <formula>4</formula>
    </cfRule>
  </conditionalFormatting>
  <conditionalFormatting sqref="K13">
    <cfRule type="cellIs" dxfId="1188" priority="378" operator="between">
      <formula>16</formula>
      <formula>25</formula>
    </cfRule>
    <cfRule type="cellIs" dxfId="1187" priority="379" operator="between">
      <formula>10</formula>
      <formula>15</formula>
    </cfRule>
    <cfRule type="cellIs" dxfId="1186" priority="380" operator="between">
      <formula>5</formula>
      <formula>9</formula>
    </cfRule>
    <cfRule type="cellIs" dxfId="1185" priority="381" operator="between">
      <formula>0</formula>
      <formula>4</formula>
    </cfRule>
  </conditionalFormatting>
  <conditionalFormatting sqref="B13">
    <cfRule type="containsText" dxfId="1184" priority="376" operator="containsText" text="WHS">
      <formula>NOT(ISERROR(SEARCH("WHS",B13)))</formula>
    </cfRule>
    <cfRule type="containsText" dxfId="1183" priority="377" operator="containsText" text="Environment">
      <formula>NOT(ISERROR(SEARCH("Environment",B13)))</formula>
    </cfRule>
  </conditionalFormatting>
  <conditionalFormatting sqref="B13">
    <cfRule type="containsText" dxfId="1182" priority="375" operator="containsText" text="Quality">
      <formula>NOT(ISERROR(SEARCH("Quality",B13)))</formula>
    </cfRule>
  </conditionalFormatting>
  <conditionalFormatting sqref="F13">
    <cfRule type="cellIs" dxfId="1181" priority="382" operator="between">
      <formula>16</formula>
      <formula>25</formula>
    </cfRule>
    <cfRule type="cellIs" dxfId="1180" priority="383" operator="between">
      <formula>10</formula>
      <formula>15</formula>
    </cfRule>
    <cfRule type="cellIs" dxfId="1179" priority="384" operator="between">
      <formula>5</formula>
      <formula>9</formula>
    </cfRule>
    <cfRule type="cellIs" dxfId="1178" priority="385" operator="between">
      <formula>0</formula>
      <formula>4</formula>
    </cfRule>
  </conditionalFormatting>
  <conditionalFormatting sqref="K14">
    <cfRule type="cellIs" dxfId="1177" priority="367" operator="between">
      <formula>16</formula>
      <formula>25</formula>
    </cfRule>
    <cfRule type="cellIs" dxfId="1176" priority="368" operator="between">
      <formula>10</formula>
      <formula>15</formula>
    </cfRule>
    <cfRule type="cellIs" dxfId="1175" priority="369" operator="between">
      <formula>5</formula>
      <formula>9</formula>
    </cfRule>
    <cfRule type="cellIs" dxfId="1174" priority="370" operator="between">
      <formula>0</formula>
      <formula>4</formula>
    </cfRule>
  </conditionalFormatting>
  <conditionalFormatting sqref="B14">
    <cfRule type="containsText" dxfId="1173" priority="365" operator="containsText" text="WHS">
      <formula>NOT(ISERROR(SEARCH("WHS",B14)))</formula>
    </cfRule>
    <cfRule type="containsText" dxfId="1172" priority="366" operator="containsText" text="Environment">
      <formula>NOT(ISERROR(SEARCH("Environment",B14)))</formula>
    </cfRule>
  </conditionalFormatting>
  <conditionalFormatting sqref="B14">
    <cfRule type="containsText" dxfId="1171" priority="364" operator="containsText" text="Quality">
      <formula>NOT(ISERROR(SEARCH("Quality",B14)))</formula>
    </cfRule>
  </conditionalFormatting>
  <conditionalFormatting sqref="F14">
    <cfRule type="cellIs" dxfId="1170" priority="371" operator="between">
      <formula>16</formula>
      <formula>25</formula>
    </cfRule>
    <cfRule type="cellIs" dxfId="1169" priority="372" operator="between">
      <formula>10</formula>
      <formula>15</formula>
    </cfRule>
    <cfRule type="cellIs" dxfId="1168" priority="373" operator="between">
      <formula>5</formula>
      <formula>9</formula>
    </cfRule>
    <cfRule type="cellIs" dxfId="1167" priority="374" operator="between">
      <formula>0</formula>
      <formula>4</formula>
    </cfRule>
  </conditionalFormatting>
  <conditionalFormatting sqref="K15">
    <cfRule type="cellIs" dxfId="1166" priority="356" operator="between">
      <formula>16</formula>
      <formula>25</formula>
    </cfRule>
    <cfRule type="cellIs" dxfId="1165" priority="357" operator="between">
      <formula>10</formula>
      <formula>15</formula>
    </cfRule>
    <cfRule type="cellIs" dxfId="1164" priority="358" operator="between">
      <formula>5</formula>
      <formula>9</formula>
    </cfRule>
    <cfRule type="cellIs" dxfId="1163" priority="359" operator="between">
      <formula>0</formula>
      <formula>4</formula>
    </cfRule>
  </conditionalFormatting>
  <conditionalFormatting sqref="B15">
    <cfRule type="containsText" dxfId="1162" priority="354" operator="containsText" text="WHS">
      <formula>NOT(ISERROR(SEARCH("WHS",B15)))</formula>
    </cfRule>
    <cfRule type="containsText" dxfId="1161" priority="355" operator="containsText" text="Environment">
      <formula>NOT(ISERROR(SEARCH("Environment",B15)))</formula>
    </cfRule>
  </conditionalFormatting>
  <conditionalFormatting sqref="B15">
    <cfRule type="containsText" dxfId="1160" priority="353" operator="containsText" text="Quality">
      <formula>NOT(ISERROR(SEARCH("Quality",B15)))</formula>
    </cfRule>
  </conditionalFormatting>
  <conditionalFormatting sqref="F15">
    <cfRule type="cellIs" dxfId="1159" priority="360" operator="between">
      <formula>16</formula>
      <formula>25</formula>
    </cfRule>
    <cfRule type="cellIs" dxfId="1158" priority="361" operator="between">
      <formula>10</formula>
      <formula>15</formula>
    </cfRule>
    <cfRule type="cellIs" dxfId="1157" priority="362" operator="between">
      <formula>5</formula>
      <formula>9</formula>
    </cfRule>
    <cfRule type="cellIs" dxfId="1156" priority="363" operator="between">
      <formula>0</formula>
      <formula>4</formula>
    </cfRule>
  </conditionalFormatting>
  <conditionalFormatting sqref="K16">
    <cfRule type="cellIs" dxfId="1155" priority="345" operator="between">
      <formula>16</formula>
      <formula>25</formula>
    </cfRule>
    <cfRule type="cellIs" dxfId="1154" priority="346" operator="between">
      <formula>10</formula>
      <formula>15</formula>
    </cfRule>
    <cfRule type="cellIs" dxfId="1153" priority="347" operator="between">
      <formula>5</formula>
      <formula>9</formula>
    </cfRule>
    <cfRule type="cellIs" dxfId="1152" priority="348" operator="between">
      <formula>0</formula>
      <formula>4</formula>
    </cfRule>
  </conditionalFormatting>
  <conditionalFormatting sqref="B16">
    <cfRule type="containsText" dxfId="1151" priority="343" operator="containsText" text="WHS">
      <formula>NOT(ISERROR(SEARCH("WHS",B16)))</formula>
    </cfRule>
    <cfRule type="containsText" dxfId="1150" priority="344" operator="containsText" text="Environment">
      <formula>NOT(ISERROR(SEARCH("Environment",B16)))</formula>
    </cfRule>
  </conditionalFormatting>
  <conditionalFormatting sqref="B16">
    <cfRule type="containsText" dxfId="1149" priority="342" operator="containsText" text="Quality">
      <formula>NOT(ISERROR(SEARCH("Quality",B16)))</formula>
    </cfRule>
  </conditionalFormatting>
  <conditionalFormatting sqref="F16">
    <cfRule type="cellIs" dxfId="1148" priority="349" operator="between">
      <formula>16</formula>
      <formula>25</formula>
    </cfRule>
    <cfRule type="cellIs" dxfId="1147" priority="350" operator="between">
      <formula>10</formula>
      <formula>15</formula>
    </cfRule>
    <cfRule type="cellIs" dxfId="1146" priority="351" operator="between">
      <formula>5</formula>
      <formula>9</formula>
    </cfRule>
    <cfRule type="cellIs" dxfId="1145" priority="352" operator="between">
      <formula>0</formula>
      <formula>4</formula>
    </cfRule>
  </conditionalFormatting>
  <conditionalFormatting sqref="K17">
    <cfRule type="cellIs" dxfId="1144" priority="334" operator="between">
      <formula>16</formula>
      <formula>25</formula>
    </cfRule>
    <cfRule type="cellIs" dxfId="1143" priority="335" operator="between">
      <formula>10</formula>
      <formula>15</formula>
    </cfRule>
    <cfRule type="cellIs" dxfId="1142" priority="336" operator="between">
      <formula>5</formula>
      <formula>9</formula>
    </cfRule>
    <cfRule type="cellIs" dxfId="1141" priority="337" operator="between">
      <formula>0</formula>
      <formula>4</formula>
    </cfRule>
  </conditionalFormatting>
  <conditionalFormatting sqref="B17">
    <cfRule type="containsText" dxfId="1140" priority="332" operator="containsText" text="WHS">
      <formula>NOT(ISERROR(SEARCH("WHS",B17)))</formula>
    </cfRule>
    <cfRule type="containsText" dxfId="1139" priority="333" operator="containsText" text="Environment">
      <formula>NOT(ISERROR(SEARCH("Environment",B17)))</formula>
    </cfRule>
  </conditionalFormatting>
  <conditionalFormatting sqref="B17">
    <cfRule type="containsText" dxfId="1138" priority="331" operator="containsText" text="Quality">
      <formula>NOT(ISERROR(SEARCH("Quality",B17)))</formula>
    </cfRule>
  </conditionalFormatting>
  <conditionalFormatting sqref="F17">
    <cfRule type="cellIs" dxfId="1137" priority="338" operator="between">
      <formula>16</formula>
      <formula>25</formula>
    </cfRule>
    <cfRule type="cellIs" dxfId="1136" priority="339" operator="between">
      <formula>10</formula>
      <formula>15</formula>
    </cfRule>
    <cfRule type="cellIs" dxfId="1135" priority="340" operator="between">
      <formula>5</formula>
      <formula>9</formula>
    </cfRule>
    <cfRule type="cellIs" dxfId="1134" priority="341" operator="between">
      <formula>0</formula>
      <formula>4</formula>
    </cfRule>
  </conditionalFormatting>
  <conditionalFormatting sqref="K18">
    <cfRule type="cellIs" dxfId="1133" priority="323" operator="between">
      <formula>16</formula>
      <formula>25</formula>
    </cfRule>
    <cfRule type="cellIs" dxfId="1132" priority="324" operator="between">
      <formula>10</formula>
      <formula>15</formula>
    </cfRule>
    <cfRule type="cellIs" dxfId="1131" priority="325" operator="between">
      <formula>5</formula>
      <formula>9</formula>
    </cfRule>
    <cfRule type="cellIs" dxfId="1130" priority="326" operator="between">
      <formula>0</formula>
      <formula>4</formula>
    </cfRule>
  </conditionalFormatting>
  <conditionalFormatting sqref="B18">
    <cfRule type="containsText" dxfId="1129" priority="321" operator="containsText" text="WHS">
      <formula>NOT(ISERROR(SEARCH("WHS",B18)))</formula>
    </cfRule>
    <cfRule type="containsText" dxfId="1128" priority="322" operator="containsText" text="Environment">
      <formula>NOT(ISERROR(SEARCH("Environment",B18)))</formula>
    </cfRule>
  </conditionalFormatting>
  <conditionalFormatting sqref="B18">
    <cfRule type="containsText" dxfId="1127" priority="320" operator="containsText" text="Quality">
      <formula>NOT(ISERROR(SEARCH("Quality",B18)))</formula>
    </cfRule>
  </conditionalFormatting>
  <conditionalFormatting sqref="F18">
    <cfRule type="cellIs" dxfId="1126" priority="327" operator="between">
      <formula>16</formula>
      <formula>25</formula>
    </cfRule>
    <cfRule type="cellIs" dxfId="1125" priority="328" operator="between">
      <formula>10</formula>
      <formula>15</formula>
    </cfRule>
    <cfRule type="cellIs" dxfId="1124" priority="329" operator="between">
      <formula>5</formula>
      <formula>9</formula>
    </cfRule>
    <cfRule type="cellIs" dxfId="1123" priority="330" operator="between">
      <formula>0</formula>
      <formula>4</formula>
    </cfRule>
  </conditionalFormatting>
  <conditionalFormatting sqref="K19">
    <cfRule type="cellIs" dxfId="1122" priority="312" operator="between">
      <formula>16</formula>
      <formula>25</formula>
    </cfRule>
    <cfRule type="cellIs" dxfId="1121" priority="313" operator="between">
      <formula>10</formula>
      <formula>15</formula>
    </cfRule>
    <cfRule type="cellIs" dxfId="1120" priority="314" operator="between">
      <formula>5</formula>
      <formula>9</formula>
    </cfRule>
    <cfRule type="cellIs" dxfId="1119" priority="315" operator="between">
      <formula>0</formula>
      <formula>4</formula>
    </cfRule>
  </conditionalFormatting>
  <conditionalFormatting sqref="B19">
    <cfRule type="containsText" dxfId="1118" priority="310" operator="containsText" text="WHS">
      <formula>NOT(ISERROR(SEARCH("WHS",B19)))</formula>
    </cfRule>
    <cfRule type="containsText" dxfId="1117" priority="311" operator="containsText" text="Environment">
      <formula>NOT(ISERROR(SEARCH("Environment",B19)))</formula>
    </cfRule>
  </conditionalFormatting>
  <conditionalFormatting sqref="B19">
    <cfRule type="containsText" dxfId="1116" priority="309" operator="containsText" text="Quality">
      <formula>NOT(ISERROR(SEARCH("Quality",B19)))</formula>
    </cfRule>
  </conditionalFormatting>
  <conditionalFormatting sqref="F19">
    <cfRule type="cellIs" dxfId="1115" priority="316" operator="between">
      <formula>16</formula>
      <formula>25</formula>
    </cfRule>
    <cfRule type="cellIs" dxfId="1114" priority="317" operator="between">
      <formula>10</formula>
      <formula>15</formula>
    </cfRule>
    <cfRule type="cellIs" dxfId="1113" priority="318" operator="between">
      <formula>5</formula>
      <formula>9</formula>
    </cfRule>
    <cfRule type="cellIs" dxfId="1112" priority="319" operator="between">
      <formula>0</formula>
      <formula>4</formula>
    </cfRule>
  </conditionalFormatting>
  <conditionalFormatting sqref="K20">
    <cfRule type="cellIs" dxfId="1111" priority="301" operator="between">
      <formula>16</formula>
      <formula>25</formula>
    </cfRule>
    <cfRule type="cellIs" dxfId="1110" priority="302" operator="between">
      <formula>10</formula>
      <formula>15</formula>
    </cfRule>
    <cfRule type="cellIs" dxfId="1109" priority="303" operator="between">
      <formula>5</formula>
      <formula>9</formula>
    </cfRule>
    <cfRule type="cellIs" dxfId="1108" priority="304" operator="between">
      <formula>0</formula>
      <formula>4</formula>
    </cfRule>
  </conditionalFormatting>
  <conditionalFormatting sqref="B20">
    <cfRule type="containsText" dxfId="1107" priority="299" operator="containsText" text="WHS">
      <formula>NOT(ISERROR(SEARCH("WHS",B20)))</formula>
    </cfRule>
    <cfRule type="containsText" dxfId="1106" priority="300" operator="containsText" text="Environment">
      <formula>NOT(ISERROR(SEARCH("Environment",B20)))</formula>
    </cfRule>
  </conditionalFormatting>
  <conditionalFormatting sqref="B20">
    <cfRule type="containsText" dxfId="1105" priority="298" operator="containsText" text="Quality">
      <formula>NOT(ISERROR(SEARCH("Quality",B20)))</formula>
    </cfRule>
  </conditionalFormatting>
  <conditionalFormatting sqref="F20">
    <cfRule type="cellIs" dxfId="1104" priority="305" operator="between">
      <formula>16</formula>
      <formula>25</formula>
    </cfRule>
    <cfRule type="cellIs" dxfId="1103" priority="306" operator="between">
      <formula>10</formula>
      <formula>15</formula>
    </cfRule>
    <cfRule type="cellIs" dxfId="1102" priority="307" operator="between">
      <formula>5</formula>
      <formula>9</formula>
    </cfRule>
    <cfRule type="cellIs" dxfId="1101" priority="308" operator="between">
      <formula>0</formula>
      <formula>4</formula>
    </cfRule>
  </conditionalFormatting>
  <conditionalFormatting sqref="K21">
    <cfRule type="cellIs" dxfId="1100" priority="290" operator="between">
      <formula>16</formula>
      <formula>25</formula>
    </cfRule>
    <cfRule type="cellIs" dxfId="1099" priority="291" operator="between">
      <formula>10</formula>
      <formula>15</formula>
    </cfRule>
    <cfRule type="cellIs" dxfId="1098" priority="292" operator="between">
      <formula>5</formula>
      <formula>9</formula>
    </cfRule>
    <cfRule type="cellIs" dxfId="1097" priority="293" operator="between">
      <formula>0</formula>
      <formula>4</formula>
    </cfRule>
  </conditionalFormatting>
  <conditionalFormatting sqref="B21">
    <cfRule type="containsText" dxfId="1096" priority="288" operator="containsText" text="WHS">
      <formula>NOT(ISERROR(SEARCH("WHS",B21)))</formula>
    </cfRule>
    <cfRule type="containsText" dxfId="1095" priority="289" operator="containsText" text="Environment">
      <formula>NOT(ISERROR(SEARCH("Environment",B21)))</formula>
    </cfRule>
  </conditionalFormatting>
  <conditionalFormatting sqref="B21">
    <cfRule type="containsText" dxfId="1094" priority="287" operator="containsText" text="Quality">
      <formula>NOT(ISERROR(SEARCH("Quality",B21)))</formula>
    </cfRule>
  </conditionalFormatting>
  <conditionalFormatting sqref="F21">
    <cfRule type="cellIs" dxfId="1093" priority="294" operator="between">
      <formula>16</formula>
      <formula>25</formula>
    </cfRule>
    <cfRule type="cellIs" dxfId="1092" priority="295" operator="between">
      <formula>10</formula>
      <formula>15</formula>
    </cfRule>
    <cfRule type="cellIs" dxfId="1091" priority="296" operator="between">
      <formula>5</formula>
      <formula>9</formula>
    </cfRule>
    <cfRule type="cellIs" dxfId="1090" priority="297" operator="between">
      <formula>0</formula>
      <formula>4</formula>
    </cfRule>
  </conditionalFormatting>
  <conditionalFormatting sqref="K22">
    <cfRule type="cellIs" dxfId="1089" priority="279" operator="between">
      <formula>16</formula>
      <formula>25</formula>
    </cfRule>
    <cfRule type="cellIs" dxfId="1088" priority="280" operator="between">
      <formula>10</formula>
      <formula>15</formula>
    </cfRule>
    <cfRule type="cellIs" dxfId="1087" priority="281" operator="between">
      <formula>5</formula>
      <formula>9</formula>
    </cfRule>
    <cfRule type="cellIs" dxfId="1086" priority="282" operator="between">
      <formula>0</formula>
      <formula>4</formula>
    </cfRule>
  </conditionalFormatting>
  <conditionalFormatting sqref="B22">
    <cfRule type="containsText" dxfId="1085" priority="277" operator="containsText" text="WHS">
      <formula>NOT(ISERROR(SEARCH("WHS",B22)))</formula>
    </cfRule>
    <cfRule type="containsText" dxfId="1084" priority="278" operator="containsText" text="Environment">
      <formula>NOT(ISERROR(SEARCH("Environment",B22)))</formula>
    </cfRule>
  </conditionalFormatting>
  <conditionalFormatting sqref="B22">
    <cfRule type="containsText" dxfId="1083" priority="276" operator="containsText" text="Quality">
      <formula>NOT(ISERROR(SEARCH("Quality",B22)))</formula>
    </cfRule>
  </conditionalFormatting>
  <conditionalFormatting sqref="F22">
    <cfRule type="cellIs" dxfId="1082" priority="283" operator="between">
      <formula>16</formula>
      <formula>25</formula>
    </cfRule>
    <cfRule type="cellIs" dxfId="1081" priority="284" operator="between">
      <formula>10</formula>
      <formula>15</formula>
    </cfRule>
    <cfRule type="cellIs" dxfId="1080" priority="285" operator="between">
      <formula>5</formula>
      <formula>9</formula>
    </cfRule>
    <cfRule type="cellIs" dxfId="1079" priority="286" operator="between">
      <formula>0</formula>
      <formula>4</formula>
    </cfRule>
  </conditionalFormatting>
  <conditionalFormatting sqref="K23">
    <cfRule type="cellIs" dxfId="1078" priority="268" operator="between">
      <formula>16</formula>
      <formula>25</formula>
    </cfRule>
    <cfRule type="cellIs" dxfId="1077" priority="269" operator="between">
      <formula>10</formula>
      <formula>15</formula>
    </cfRule>
    <cfRule type="cellIs" dxfId="1076" priority="270" operator="between">
      <formula>5</formula>
      <formula>9</formula>
    </cfRule>
    <cfRule type="cellIs" dxfId="1075" priority="271" operator="between">
      <formula>0</formula>
      <formula>4</formula>
    </cfRule>
  </conditionalFormatting>
  <conditionalFormatting sqref="B23">
    <cfRule type="containsText" dxfId="1074" priority="266" operator="containsText" text="WHS">
      <formula>NOT(ISERROR(SEARCH("WHS",B23)))</formula>
    </cfRule>
    <cfRule type="containsText" dxfId="1073" priority="267" operator="containsText" text="Environment">
      <formula>NOT(ISERROR(SEARCH("Environment",B23)))</formula>
    </cfRule>
  </conditionalFormatting>
  <conditionalFormatting sqref="B23">
    <cfRule type="containsText" dxfId="1072" priority="265" operator="containsText" text="Quality">
      <formula>NOT(ISERROR(SEARCH("Quality",B23)))</formula>
    </cfRule>
  </conditionalFormatting>
  <conditionalFormatting sqref="F23">
    <cfRule type="cellIs" dxfId="1071" priority="272" operator="between">
      <formula>16</formula>
      <formula>25</formula>
    </cfRule>
    <cfRule type="cellIs" dxfId="1070" priority="273" operator="between">
      <formula>10</formula>
      <formula>15</formula>
    </cfRule>
    <cfRule type="cellIs" dxfId="1069" priority="274" operator="between">
      <formula>5</formula>
      <formula>9</formula>
    </cfRule>
    <cfRule type="cellIs" dxfId="1068" priority="275" operator="between">
      <formula>0</formula>
      <formula>4</formula>
    </cfRule>
  </conditionalFormatting>
  <conditionalFormatting sqref="K24">
    <cfRule type="cellIs" dxfId="1067" priority="257" operator="between">
      <formula>16</formula>
      <formula>25</formula>
    </cfRule>
    <cfRule type="cellIs" dxfId="1066" priority="258" operator="between">
      <formula>10</formula>
      <formula>15</formula>
    </cfRule>
    <cfRule type="cellIs" dxfId="1065" priority="259" operator="between">
      <formula>5</formula>
      <formula>9</formula>
    </cfRule>
    <cfRule type="cellIs" dxfId="1064" priority="260" operator="between">
      <formula>0</formula>
      <formula>4</formula>
    </cfRule>
  </conditionalFormatting>
  <conditionalFormatting sqref="B24">
    <cfRule type="containsText" dxfId="1063" priority="255" operator="containsText" text="WHS">
      <formula>NOT(ISERROR(SEARCH("WHS",B24)))</formula>
    </cfRule>
    <cfRule type="containsText" dxfId="1062" priority="256" operator="containsText" text="Environment">
      <formula>NOT(ISERROR(SEARCH("Environment",B24)))</formula>
    </cfRule>
  </conditionalFormatting>
  <conditionalFormatting sqref="B24">
    <cfRule type="containsText" dxfId="1061" priority="254" operator="containsText" text="Quality">
      <formula>NOT(ISERROR(SEARCH("Quality",B24)))</formula>
    </cfRule>
  </conditionalFormatting>
  <conditionalFormatting sqref="F24">
    <cfRule type="cellIs" dxfId="1060" priority="261" operator="between">
      <formula>16</formula>
      <formula>25</formula>
    </cfRule>
    <cfRule type="cellIs" dxfId="1059" priority="262" operator="between">
      <formula>10</formula>
      <formula>15</formula>
    </cfRule>
    <cfRule type="cellIs" dxfId="1058" priority="263" operator="between">
      <formula>5</formula>
      <formula>9</formula>
    </cfRule>
    <cfRule type="cellIs" dxfId="1057" priority="264" operator="between">
      <formula>0</formula>
      <formula>4</formula>
    </cfRule>
  </conditionalFormatting>
  <conditionalFormatting sqref="K25">
    <cfRule type="cellIs" dxfId="1056" priority="246" operator="between">
      <formula>16</formula>
      <formula>25</formula>
    </cfRule>
    <cfRule type="cellIs" dxfId="1055" priority="247" operator="between">
      <formula>10</formula>
      <formula>15</formula>
    </cfRule>
    <cfRule type="cellIs" dxfId="1054" priority="248" operator="between">
      <formula>5</formula>
      <formula>9</formula>
    </cfRule>
    <cfRule type="cellIs" dxfId="1053" priority="249" operator="between">
      <formula>0</formula>
      <formula>4</formula>
    </cfRule>
  </conditionalFormatting>
  <conditionalFormatting sqref="B25">
    <cfRule type="containsText" dxfId="1052" priority="244" operator="containsText" text="WHS">
      <formula>NOT(ISERROR(SEARCH("WHS",B25)))</formula>
    </cfRule>
    <cfRule type="containsText" dxfId="1051" priority="245" operator="containsText" text="Environment">
      <formula>NOT(ISERROR(SEARCH("Environment",B25)))</formula>
    </cfRule>
  </conditionalFormatting>
  <conditionalFormatting sqref="B25">
    <cfRule type="containsText" dxfId="1050" priority="243" operator="containsText" text="Quality">
      <formula>NOT(ISERROR(SEARCH("Quality",B25)))</formula>
    </cfRule>
  </conditionalFormatting>
  <conditionalFormatting sqref="F25">
    <cfRule type="cellIs" dxfId="1049" priority="250" operator="between">
      <formula>16</formula>
      <formula>25</formula>
    </cfRule>
    <cfRule type="cellIs" dxfId="1048" priority="251" operator="between">
      <formula>10</formula>
      <formula>15</formula>
    </cfRule>
    <cfRule type="cellIs" dxfId="1047" priority="252" operator="between">
      <formula>5</formula>
      <formula>9</formula>
    </cfRule>
    <cfRule type="cellIs" dxfId="1046" priority="253" operator="between">
      <formula>0</formula>
      <formula>4</formula>
    </cfRule>
  </conditionalFormatting>
  <conditionalFormatting sqref="K26">
    <cfRule type="cellIs" dxfId="1045" priority="235" operator="between">
      <formula>16</formula>
      <formula>25</formula>
    </cfRule>
    <cfRule type="cellIs" dxfId="1044" priority="236" operator="between">
      <formula>10</formula>
      <formula>15</formula>
    </cfRule>
    <cfRule type="cellIs" dxfId="1043" priority="237" operator="between">
      <formula>5</formula>
      <formula>9</formula>
    </cfRule>
    <cfRule type="cellIs" dxfId="1042" priority="238" operator="between">
      <formula>0</formula>
      <formula>4</formula>
    </cfRule>
  </conditionalFormatting>
  <conditionalFormatting sqref="B26">
    <cfRule type="containsText" dxfId="1041" priority="233" operator="containsText" text="WHS">
      <formula>NOT(ISERROR(SEARCH("WHS",B26)))</formula>
    </cfRule>
    <cfRule type="containsText" dxfId="1040" priority="234" operator="containsText" text="Environment">
      <formula>NOT(ISERROR(SEARCH("Environment",B26)))</formula>
    </cfRule>
  </conditionalFormatting>
  <conditionalFormatting sqref="B26">
    <cfRule type="containsText" dxfId="1039" priority="232" operator="containsText" text="Quality">
      <formula>NOT(ISERROR(SEARCH("Quality",B26)))</formula>
    </cfRule>
  </conditionalFormatting>
  <conditionalFormatting sqref="F26">
    <cfRule type="cellIs" dxfId="1038" priority="239" operator="between">
      <formula>16</formula>
      <formula>25</formula>
    </cfRule>
    <cfRule type="cellIs" dxfId="1037" priority="240" operator="between">
      <formula>10</formula>
      <formula>15</formula>
    </cfRule>
    <cfRule type="cellIs" dxfId="1036" priority="241" operator="between">
      <formula>5</formula>
      <formula>9</formula>
    </cfRule>
    <cfRule type="cellIs" dxfId="1035" priority="242" operator="between">
      <formula>0</formula>
      <formula>4</formula>
    </cfRule>
  </conditionalFormatting>
  <conditionalFormatting sqref="K27">
    <cfRule type="cellIs" dxfId="1034" priority="224" operator="between">
      <formula>16</formula>
      <formula>25</formula>
    </cfRule>
    <cfRule type="cellIs" dxfId="1033" priority="225" operator="between">
      <formula>10</formula>
      <formula>15</formula>
    </cfRule>
    <cfRule type="cellIs" dxfId="1032" priority="226" operator="between">
      <formula>5</formula>
      <formula>9</formula>
    </cfRule>
    <cfRule type="cellIs" dxfId="1031" priority="227" operator="between">
      <formula>0</formula>
      <formula>4</formula>
    </cfRule>
  </conditionalFormatting>
  <conditionalFormatting sqref="B27">
    <cfRule type="containsText" dxfId="1030" priority="222" operator="containsText" text="WHS">
      <formula>NOT(ISERROR(SEARCH("WHS",B27)))</formula>
    </cfRule>
    <cfRule type="containsText" dxfId="1029" priority="223" operator="containsText" text="Environment">
      <formula>NOT(ISERROR(SEARCH("Environment",B27)))</formula>
    </cfRule>
  </conditionalFormatting>
  <conditionalFormatting sqref="B27">
    <cfRule type="containsText" dxfId="1028" priority="221" operator="containsText" text="Quality">
      <formula>NOT(ISERROR(SEARCH("Quality",B27)))</formula>
    </cfRule>
  </conditionalFormatting>
  <conditionalFormatting sqref="F27">
    <cfRule type="cellIs" dxfId="1027" priority="228" operator="between">
      <formula>16</formula>
      <formula>25</formula>
    </cfRule>
    <cfRule type="cellIs" dxfId="1026" priority="229" operator="between">
      <formula>10</formula>
      <formula>15</formula>
    </cfRule>
    <cfRule type="cellIs" dxfId="1025" priority="230" operator="between">
      <formula>5</formula>
      <formula>9</formula>
    </cfRule>
    <cfRule type="cellIs" dxfId="1024" priority="231" operator="between">
      <formula>0</formula>
      <formula>4</formula>
    </cfRule>
  </conditionalFormatting>
  <conditionalFormatting sqref="K28">
    <cfRule type="cellIs" dxfId="1023" priority="213" operator="between">
      <formula>16</formula>
      <formula>25</formula>
    </cfRule>
    <cfRule type="cellIs" dxfId="1022" priority="214" operator="between">
      <formula>10</formula>
      <formula>15</formula>
    </cfRule>
    <cfRule type="cellIs" dxfId="1021" priority="215" operator="between">
      <formula>5</formula>
      <formula>9</formula>
    </cfRule>
    <cfRule type="cellIs" dxfId="1020" priority="216" operator="between">
      <formula>0</formula>
      <formula>4</formula>
    </cfRule>
  </conditionalFormatting>
  <conditionalFormatting sqref="B28">
    <cfRule type="containsText" dxfId="1019" priority="211" operator="containsText" text="WHS">
      <formula>NOT(ISERROR(SEARCH("WHS",B28)))</formula>
    </cfRule>
    <cfRule type="containsText" dxfId="1018" priority="212" operator="containsText" text="Environment">
      <formula>NOT(ISERROR(SEARCH("Environment",B28)))</formula>
    </cfRule>
  </conditionalFormatting>
  <conditionalFormatting sqref="B28">
    <cfRule type="containsText" dxfId="1017" priority="210" operator="containsText" text="Quality">
      <formula>NOT(ISERROR(SEARCH("Quality",B28)))</formula>
    </cfRule>
  </conditionalFormatting>
  <conditionalFormatting sqref="F28">
    <cfRule type="cellIs" dxfId="1016" priority="217" operator="between">
      <formula>16</formula>
      <formula>25</formula>
    </cfRule>
    <cfRule type="cellIs" dxfId="1015" priority="218" operator="between">
      <formula>10</formula>
      <formula>15</formula>
    </cfRule>
    <cfRule type="cellIs" dxfId="1014" priority="219" operator="between">
      <formula>5</formula>
      <formula>9</formula>
    </cfRule>
    <cfRule type="cellIs" dxfId="1013" priority="220" operator="between">
      <formula>0</formula>
      <formula>4</formula>
    </cfRule>
  </conditionalFormatting>
  <conditionalFormatting sqref="K29">
    <cfRule type="cellIs" dxfId="1012" priority="202" operator="between">
      <formula>16</formula>
      <formula>25</formula>
    </cfRule>
    <cfRule type="cellIs" dxfId="1011" priority="203" operator="between">
      <formula>10</formula>
      <formula>15</formula>
    </cfRule>
    <cfRule type="cellIs" dxfId="1010" priority="204" operator="between">
      <formula>5</formula>
      <formula>9</formula>
    </cfRule>
    <cfRule type="cellIs" dxfId="1009" priority="205" operator="between">
      <formula>0</formula>
      <formula>4</formula>
    </cfRule>
  </conditionalFormatting>
  <conditionalFormatting sqref="B29">
    <cfRule type="containsText" dxfId="1008" priority="200" operator="containsText" text="WHS">
      <formula>NOT(ISERROR(SEARCH("WHS",B29)))</formula>
    </cfRule>
    <cfRule type="containsText" dxfId="1007" priority="201" operator="containsText" text="Environment">
      <formula>NOT(ISERROR(SEARCH("Environment",B29)))</formula>
    </cfRule>
  </conditionalFormatting>
  <conditionalFormatting sqref="B29">
    <cfRule type="containsText" dxfId="1006" priority="199" operator="containsText" text="Quality">
      <formula>NOT(ISERROR(SEARCH("Quality",B29)))</formula>
    </cfRule>
  </conditionalFormatting>
  <conditionalFormatting sqref="F29">
    <cfRule type="cellIs" dxfId="1005" priority="206" operator="between">
      <formula>16</formula>
      <formula>25</formula>
    </cfRule>
    <cfRule type="cellIs" dxfId="1004" priority="207" operator="between">
      <formula>10</formula>
      <formula>15</formula>
    </cfRule>
    <cfRule type="cellIs" dxfId="1003" priority="208" operator="between">
      <formula>5</formula>
      <formula>9</formula>
    </cfRule>
    <cfRule type="cellIs" dxfId="1002" priority="209" operator="between">
      <formula>0</formula>
      <formula>4</formula>
    </cfRule>
  </conditionalFormatting>
  <conditionalFormatting sqref="K30">
    <cfRule type="cellIs" dxfId="1001" priority="191" operator="between">
      <formula>16</formula>
      <formula>25</formula>
    </cfRule>
    <cfRule type="cellIs" dxfId="1000" priority="192" operator="between">
      <formula>10</formula>
      <formula>15</formula>
    </cfRule>
    <cfRule type="cellIs" dxfId="999" priority="193" operator="between">
      <formula>5</formula>
      <formula>9</formula>
    </cfRule>
    <cfRule type="cellIs" dxfId="998" priority="194" operator="between">
      <formula>0</formula>
      <formula>4</formula>
    </cfRule>
  </conditionalFormatting>
  <conditionalFormatting sqref="B30">
    <cfRule type="containsText" dxfId="997" priority="189" operator="containsText" text="WHS">
      <formula>NOT(ISERROR(SEARCH("WHS",B30)))</formula>
    </cfRule>
    <cfRule type="containsText" dxfId="996" priority="190" operator="containsText" text="Environment">
      <formula>NOT(ISERROR(SEARCH("Environment",B30)))</formula>
    </cfRule>
  </conditionalFormatting>
  <conditionalFormatting sqref="B30">
    <cfRule type="containsText" dxfId="995" priority="188" operator="containsText" text="Quality">
      <formula>NOT(ISERROR(SEARCH("Quality",B30)))</formula>
    </cfRule>
  </conditionalFormatting>
  <conditionalFormatting sqref="F30">
    <cfRule type="cellIs" dxfId="994" priority="195" operator="between">
      <formula>16</formula>
      <formula>25</formula>
    </cfRule>
    <cfRule type="cellIs" dxfId="993" priority="196" operator="between">
      <formula>10</formula>
      <formula>15</formula>
    </cfRule>
    <cfRule type="cellIs" dxfId="992" priority="197" operator="between">
      <formula>5</formula>
      <formula>9</formula>
    </cfRule>
    <cfRule type="cellIs" dxfId="991" priority="198" operator="between">
      <formula>0</formula>
      <formula>4</formula>
    </cfRule>
  </conditionalFormatting>
  <conditionalFormatting sqref="K31">
    <cfRule type="cellIs" dxfId="990" priority="180" operator="between">
      <formula>16</formula>
      <formula>25</formula>
    </cfRule>
    <cfRule type="cellIs" dxfId="989" priority="181" operator="between">
      <formula>10</formula>
      <formula>15</formula>
    </cfRule>
    <cfRule type="cellIs" dxfId="988" priority="182" operator="between">
      <formula>5</formula>
      <formula>9</formula>
    </cfRule>
    <cfRule type="cellIs" dxfId="987" priority="183" operator="between">
      <formula>0</formula>
      <formula>4</formula>
    </cfRule>
  </conditionalFormatting>
  <conditionalFormatting sqref="B31">
    <cfRule type="containsText" dxfId="986" priority="178" operator="containsText" text="WHS">
      <formula>NOT(ISERROR(SEARCH("WHS",B31)))</formula>
    </cfRule>
    <cfRule type="containsText" dxfId="985" priority="179" operator="containsText" text="Environment">
      <formula>NOT(ISERROR(SEARCH("Environment",B31)))</formula>
    </cfRule>
  </conditionalFormatting>
  <conditionalFormatting sqref="B31">
    <cfRule type="containsText" dxfId="984" priority="177" operator="containsText" text="Quality">
      <formula>NOT(ISERROR(SEARCH("Quality",B31)))</formula>
    </cfRule>
  </conditionalFormatting>
  <conditionalFormatting sqref="F31">
    <cfRule type="cellIs" dxfId="983" priority="184" operator="between">
      <formula>16</formula>
      <formula>25</formula>
    </cfRule>
    <cfRule type="cellIs" dxfId="982" priority="185" operator="between">
      <formula>10</formula>
      <formula>15</formula>
    </cfRule>
    <cfRule type="cellIs" dxfId="981" priority="186" operator="between">
      <formula>5</formula>
      <formula>9</formula>
    </cfRule>
    <cfRule type="cellIs" dxfId="980" priority="187" operator="between">
      <formula>0</formula>
      <formula>4</formula>
    </cfRule>
  </conditionalFormatting>
  <conditionalFormatting sqref="K32">
    <cfRule type="cellIs" dxfId="979" priority="169" operator="between">
      <formula>16</formula>
      <formula>25</formula>
    </cfRule>
    <cfRule type="cellIs" dxfId="978" priority="170" operator="between">
      <formula>10</formula>
      <formula>15</formula>
    </cfRule>
    <cfRule type="cellIs" dxfId="977" priority="171" operator="between">
      <formula>5</formula>
      <formula>9</formula>
    </cfRule>
    <cfRule type="cellIs" dxfId="976" priority="172" operator="between">
      <formula>0</formula>
      <formula>4</formula>
    </cfRule>
  </conditionalFormatting>
  <conditionalFormatting sqref="B32">
    <cfRule type="containsText" dxfId="975" priority="167" operator="containsText" text="WHS">
      <formula>NOT(ISERROR(SEARCH("WHS",B32)))</formula>
    </cfRule>
    <cfRule type="containsText" dxfId="974" priority="168" operator="containsText" text="Environment">
      <formula>NOT(ISERROR(SEARCH("Environment",B32)))</formula>
    </cfRule>
  </conditionalFormatting>
  <conditionalFormatting sqref="B32">
    <cfRule type="containsText" dxfId="973" priority="166" operator="containsText" text="Quality">
      <formula>NOT(ISERROR(SEARCH("Quality",B32)))</formula>
    </cfRule>
  </conditionalFormatting>
  <conditionalFormatting sqref="F32">
    <cfRule type="cellIs" dxfId="972" priority="173" operator="between">
      <formula>16</formula>
      <formula>25</formula>
    </cfRule>
    <cfRule type="cellIs" dxfId="971" priority="174" operator="between">
      <formula>10</formula>
      <formula>15</formula>
    </cfRule>
    <cfRule type="cellIs" dxfId="970" priority="175" operator="between">
      <formula>5</formula>
      <formula>9</formula>
    </cfRule>
    <cfRule type="cellIs" dxfId="969" priority="176" operator="between">
      <formula>0</formula>
      <formula>4</formula>
    </cfRule>
  </conditionalFormatting>
  <conditionalFormatting sqref="K33">
    <cfRule type="cellIs" dxfId="968" priority="158" operator="between">
      <formula>16</formula>
      <formula>25</formula>
    </cfRule>
    <cfRule type="cellIs" dxfId="967" priority="159" operator="between">
      <formula>10</formula>
      <formula>15</formula>
    </cfRule>
    <cfRule type="cellIs" dxfId="966" priority="160" operator="between">
      <formula>5</formula>
      <formula>9</formula>
    </cfRule>
    <cfRule type="cellIs" dxfId="965" priority="161" operator="between">
      <formula>0</formula>
      <formula>4</formula>
    </cfRule>
  </conditionalFormatting>
  <conditionalFormatting sqref="B33">
    <cfRule type="containsText" dxfId="964" priority="156" operator="containsText" text="WHS">
      <formula>NOT(ISERROR(SEARCH("WHS",B33)))</formula>
    </cfRule>
    <cfRule type="containsText" dxfId="963" priority="157" operator="containsText" text="Environment">
      <formula>NOT(ISERROR(SEARCH("Environment",B33)))</formula>
    </cfRule>
  </conditionalFormatting>
  <conditionalFormatting sqref="B33">
    <cfRule type="containsText" dxfId="962" priority="155" operator="containsText" text="Quality">
      <formula>NOT(ISERROR(SEARCH("Quality",B33)))</formula>
    </cfRule>
  </conditionalFormatting>
  <conditionalFormatting sqref="F33">
    <cfRule type="cellIs" dxfId="961" priority="162" operator="between">
      <formula>16</formula>
      <formula>25</formula>
    </cfRule>
    <cfRule type="cellIs" dxfId="960" priority="163" operator="between">
      <formula>10</formula>
      <formula>15</formula>
    </cfRule>
    <cfRule type="cellIs" dxfId="959" priority="164" operator="between">
      <formula>5</formula>
      <formula>9</formula>
    </cfRule>
    <cfRule type="cellIs" dxfId="958" priority="165" operator="between">
      <formula>0</formula>
      <formula>4</formula>
    </cfRule>
  </conditionalFormatting>
  <conditionalFormatting sqref="K34">
    <cfRule type="cellIs" dxfId="957" priority="147" operator="between">
      <formula>16</formula>
      <formula>25</formula>
    </cfRule>
    <cfRule type="cellIs" dxfId="956" priority="148" operator="between">
      <formula>10</formula>
      <formula>15</formula>
    </cfRule>
    <cfRule type="cellIs" dxfId="955" priority="149" operator="between">
      <formula>5</formula>
      <formula>9</formula>
    </cfRule>
    <cfRule type="cellIs" dxfId="954" priority="150" operator="between">
      <formula>0</formula>
      <formula>4</formula>
    </cfRule>
  </conditionalFormatting>
  <conditionalFormatting sqref="B34">
    <cfRule type="containsText" dxfId="953" priority="145" operator="containsText" text="WHS">
      <formula>NOT(ISERROR(SEARCH("WHS",B34)))</formula>
    </cfRule>
    <cfRule type="containsText" dxfId="952" priority="146" operator="containsText" text="Environment">
      <formula>NOT(ISERROR(SEARCH("Environment",B34)))</formula>
    </cfRule>
  </conditionalFormatting>
  <conditionalFormatting sqref="B34">
    <cfRule type="containsText" dxfId="951" priority="144" operator="containsText" text="Quality">
      <formula>NOT(ISERROR(SEARCH("Quality",B34)))</formula>
    </cfRule>
  </conditionalFormatting>
  <conditionalFormatting sqref="F34">
    <cfRule type="cellIs" dxfId="950" priority="151" operator="between">
      <formula>16</formula>
      <formula>25</formula>
    </cfRule>
    <cfRule type="cellIs" dxfId="949" priority="152" operator="between">
      <formula>10</formula>
      <formula>15</formula>
    </cfRule>
    <cfRule type="cellIs" dxfId="948" priority="153" operator="between">
      <formula>5</formula>
      <formula>9</formula>
    </cfRule>
    <cfRule type="cellIs" dxfId="947" priority="154" operator="between">
      <formula>0</formula>
      <formula>4</formula>
    </cfRule>
  </conditionalFormatting>
  <conditionalFormatting sqref="K35">
    <cfRule type="cellIs" dxfId="946" priority="136" operator="between">
      <formula>16</formula>
      <formula>25</formula>
    </cfRule>
    <cfRule type="cellIs" dxfId="945" priority="137" operator="between">
      <formula>10</formula>
      <formula>15</formula>
    </cfRule>
    <cfRule type="cellIs" dxfId="944" priority="138" operator="between">
      <formula>5</formula>
      <formula>9</formula>
    </cfRule>
    <cfRule type="cellIs" dxfId="943" priority="139" operator="between">
      <formula>0</formula>
      <formula>4</formula>
    </cfRule>
  </conditionalFormatting>
  <conditionalFormatting sqref="B35">
    <cfRule type="containsText" dxfId="942" priority="134" operator="containsText" text="WHS">
      <formula>NOT(ISERROR(SEARCH("WHS",B35)))</formula>
    </cfRule>
    <cfRule type="containsText" dxfId="941" priority="135" operator="containsText" text="Environment">
      <formula>NOT(ISERROR(SEARCH("Environment",B35)))</formula>
    </cfRule>
  </conditionalFormatting>
  <conditionalFormatting sqref="B35">
    <cfRule type="containsText" dxfId="940" priority="133" operator="containsText" text="Quality">
      <formula>NOT(ISERROR(SEARCH("Quality",B35)))</formula>
    </cfRule>
  </conditionalFormatting>
  <conditionalFormatting sqref="F35">
    <cfRule type="cellIs" dxfId="939" priority="140" operator="between">
      <formula>16</formula>
      <formula>25</formula>
    </cfRule>
    <cfRule type="cellIs" dxfId="938" priority="141" operator="between">
      <formula>10</formula>
      <formula>15</formula>
    </cfRule>
    <cfRule type="cellIs" dxfId="937" priority="142" operator="between">
      <formula>5</formula>
      <formula>9</formula>
    </cfRule>
    <cfRule type="cellIs" dxfId="936" priority="143" operator="between">
      <formula>0</formula>
      <formula>4</formula>
    </cfRule>
  </conditionalFormatting>
  <conditionalFormatting sqref="K36">
    <cfRule type="cellIs" dxfId="935" priority="125" operator="between">
      <formula>16</formula>
      <formula>25</formula>
    </cfRule>
    <cfRule type="cellIs" dxfId="934" priority="126" operator="between">
      <formula>10</formula>
      <formula>15</formula>
    </cfRule>
    <cfRule type="cellIs" dxfId="933" priority="127" operator="between">
      <formula>5</formula>
      <formula>9</formula>
    </cfRule>
    <cfRule type="cellIs" dxfId="932" priority="128" operator="between">
      <formula>0</formula>
      <formula>4</formula>
    </cfRule>
  </conditionalFormatting>
  <conditionalFormatting sqref="B36">
    <cfRule type="containsText" dxfId="931" priority="123" operator="containsText" text="WHS">
      <formula>NOT(ISERROR(SEARCH("WHS",B36)))</formula>
    </cfRule>
    <cfRule type="containsText" dxfId="930" priority="124" operator="containsText" text="Environment">
      <formula>NOT(ISERROR(SEARCH("Environment",B36)))</formula>
    </cfRule>
  </conditionalFormatting>
  <conditionalFormatting sqref="B36">
    <cfRule type="containsText" dxfId="929" priority="122" operator="containsText" text="Quality">
      <formula>NOT(ISERROR(SEARCH("Quality",B36)))</formula>
    </cfRule>
  </conditionalFormatting>
  <conditionalFormatting sqref="F36">
    <cfRule type="cellIs" dxfId="928" priority="129" operator="between">
      <formula>16</formula>
      <formula>25</formula>
    </cfRule>
    <cfRule type="cellIs" dxfId="927" priority="130" operator="between">
      <formula>10</formula>
      <formula>15</formula>
    </cfRule>
    <cfRule type="cellIs" dxfId="926" priority="131" operator="between">
      <formula>5</formula>
      <formula>9</formula>
    </cfRule>
    <cfRule type="cellIs" dxfId="925" priority="132" operator="between">
      <formula>0</formula>
      <formula>4</formula>
    </cfRule>
  </conditionalFormatting>
  <conditionalFormatting sqref="K37">
    <cfRule type="cellIs" dxfId="924" priority="114" operator="between">
      <formula>16</formula>
      <formula>25</formula>
    </cfRule>
    <cfRule type="cellIs" dxfId="923" priority="115" operator="between">
      <formula>10</formula>
      <formula>15</formula>
    </cfRule>
    <cfRule type="cellIs" dxfId="922" priority="116" operator="between">
      <formula>5</formula>
      <formula>9</formula>
    </cfRule>
    <cfRule type="cellIs" dxfId="921" priority="117" operator="between">
      <formula>0</formula>
      <formula>4</formula>
    </cfRule>
  </conditionalFormatting>
  <conditionalFormatting sqref="B37">
    <cfRule type="containsText" dxfId="920" priority="112" operator="containsText" text="WHS">
      <formula>NOT(ISERROR(SEARCH("WHS",B37)))</formula>
    </cfRule>
    <cfRule type="containsText" dxfId="919" priority="113" operator="containsText" text="Environment">
      <formula>NOT(ISERROR(SEARCH("Environment",B37)))</formula>
    </cfRule>
  </conditionalFormatting>
  <conditionalFormatting sqref="B37">
    <cfRule type="containsText" dxfId="918" priority="111" operator="containsText" text="Quality">
      <formula>NOT(ISERROR(SEARCH("Quality",B37)))</formula>
    </cfRule>
  </conditionalFormatting>
  <conditionalFormatting sqref="F37">
    <cfRule type="cellIs" dxfId="917" priority="118" operator="between">
      <formula>16</formula>
      <formula>25</formula>
    </cfRule>
    <cfRule type="cellIs" dxfId="916" priority="119" operator="between">
      <formula>10</formula>
      <formula>15</formula>
    </cfRule>
    <cfRule type="cellIs" dxfId="915" priority="120" operator="between">
      <formula>5</formula>
      <formula>9</formula>
    </cfRule>
    <cfRule type="cellIs" dxfId="914" priority="121" operator="between">
      <formula>0</formula>
      <formula>4</formula>
    </cfRule>
  </conditionalFormatting>
  <conditionalFormatting sqref="K38">
    <cfRule type="cellIs" dxfId="913" priority="103" operator="between">
      <formula>16</formula>
      <formula>25</formula>
    </cfRule>
    <cfRule type="cellIs" dxfId="912" priority="104" operator="between">
      <formula>10</formula>
      <formula>15</formula>
    </cfRule>
    <cfRule type="cellIs" dxfId="911" priority="105" operator="between">
      <formula>5</formula>
      <formula>9</formula>
    </cfRule>
    <cfRule type="cellIs" dxfId="910" priority="106" operator="between">
      <formula>0</formula>
      <formula>4</formula>
    </cfRule>
  </conditionalFormatting>
  <conditionalFormatting sqref="B38">
    <cfRule type="containsText" dxfId="909" priority="101" operator="containsText" text="WHS">
      <formula>NOT(ISERROR(SEARCH("WHS",B38)))</formula>
    </cfRule>
    <cfRule type="containsText" dxfId="908" priority="102" operator="containsText" text="Environment">
      <formula>NOT(ISERROR(SEARCH("Environment",B38)))</formula>
    </cfRule>
  </conditionalFormatting>
  <conditionalFormatting sqref="B38">
    <cfRule type="containsText" dxfId="907" priority="100" operator="containsText" text="Quality">
      <formula>NOT(ISERROR(SEARCH("Quality",B38)))</formula>
    </cfRule>
  </conditionalFormatting>
  <conditionalFormatting sqref="F38">
    <cfRule type="cellIs" dxfId="906" priority="107" operator="between">
      <formula>16</formula>
      <formula>25</formula>
    </cfRule>
    <cfRule type="cellIs" dxfId="905" priority="108" operator="between">
      <formula>10</formula>
      <formula>15</formula>
    </cfRule>
    <cfRule type="cellIs" dxfId="904" priority="109" operator="between">
      <formula>5</formula>
      <formula>9</formula>
    </cfRule>
    <cfRule type="cellIs" dxfId="903" priority="110" operator="between">
      <formula>0</formula>
      <formula>4</formula>
    </cfRule>
  </conditionalFormatting>
  <conditionalFormatting sqref="K39">
    <cfRule type="cellIs" dxfId="902" priority="92" operator="between">
      <formula>16</formula>
      <formula>25</formula>
    </cfRule>
    <cfRule type="cellIs" dxfId="901" priority="93" operator="between">
      <formula>10</formula>
      <formula>15</formula>
    </cfRule>
    <cfRule type="cellIs" dxfId="900" priority="94" operator="between">
      <formula>5</formula>
      <formula>9</formula>
    </cfRule>
    <cfRule type="cellIs" dxfId="899" priority="95" operator="between">
      <formula>0</formula>
      <formula>4</formula>
    </cfRule>
  </conditionalFormatting>
  <conditionalFormatting sqref="B39">
    <cfRule type="containsText" dxfId="898" priority="90" operator="containsText" text="WHS">
      <formula>NOT(ISERROR(SEARCH("WHS",B39)))</formula>
    </cfRule>
    <cfRule type="containsText" dxfId="897" priority="91" operator="containsText" text="Environment">
      <formula>NOT(ISERROR(SEARCH("Environment",B39)))</formula>
    </cfRule>
  </conditionalFormatting>
  <conditionalFormatting sqref="B39">
    <cfRule type="containsText" dxfId="896" priority="89" operator="containsText" text="Quality">
      <formula>NOT(ISERROR(SEARCH("Quality",B39)))</formula>
    </cfRule>
  </conditionalFormatting>
  <conditionalFormatting sqref="F39">
    <cfRule type="cellIs" dxfId="895" priority="96" operator="between">
      <formula>16</formula>
      <formula>25</formula>
    </cfRule>
    <cfRule type="cellIs" dxfId="894" priority="97" operator="between">
      <formula>10</formula>
      <formula>15</formula>
    </cfRule>
    <cfRule type="cellIs" dxfId="893" priority="98" operator="between">
      <formula>5</formula>
      <formula>9</formula>
    </cfRule>
    <cfRule type="cellIs" dxfId="892" priority="99" operator="between">
      <formula>0</formula>
      <formula>4</formula>
    </cfRule>
  </conditionalFormatting>
  <conditionalFormatting sqref="K40">
    <cfRule type="cellIs" dxfId="891" priority="81" operator="between">
      <formula>16</formula>
      <formula>25</formula>
    </cfRule>
    <cfRule type="cellIs" dxfId="890" priority="82" operator="between">
      <formula>10</formula>
      <formula>15</formula>
    </cfRule>
    <cfRule type="cellIs" dxfId="889" priority="83" operator="between">
      <formula>5</formula>
      <formula>9</formula>
    </cfRule>
    <cfRule type="cellIs" dxfId="888" priority="84" operator="between">
      <formula>0</formula>
      <formula>4</formula>
    </cfRule>
  </conditionalFormatting>
  <conditionalFormatting sqref="B40">
    <cfRule type="containsText" dxfId="887" priority="79" operator="containsText" text="WHS">
      <formula>NOT(ISERROR(SEARCH("WHS",B40)))</formula>
    </cfRule>
    <cfRule type="containsText" dxfId="886" priority="80" operator="containsText" text="Environment">
      <formula>NOT(ISERROR(SEARCH("Environment",B40)))</formula>
    </cfRule>
  </conditionalFormatting>
  <conditionalFormatting sqref="B40">
    <cfRule type="containsText" dxfId="885" priority="78" operator="containsText" text="Quality">
      <formula>NOT(ISERROR(SEARCH("Quality",B40)))</formula>
    </cfRule>
  </conditionalFormatting>
  <conditionalFormatting sqref="F40">
    <cfRule type="cellIs" dxfId="884" priority="85" operator="between">
      <formula>16</formula>
      <formula>25</formula>
    </cfRule>
    <cfRule type="cellIs" dxfId="883" priority="86" operator="between">
      <formula>10</formula>
      <formula>15</formula>
    </cfRule>
    <cfRule type="cellIs" dxfId="882" priority="87" operator="between">
      <formula>5</formula>
      <formula>9</formula>
    </cfRule>
    <cfRule type="cellIs" dxfId="881" priority="88" operator="between">
      <formula>0</formula>
      <formula>4</formula>
    </cfRule>
  </conditionalFormatting>
  <conditionalFormatting sqref="K41">
    <cfRule type="cellIs" dxfId="880" priority="70" operator="between">
      <formula>16</formula>
      <formula>25</formula>
    </cfRule>
    <cfRule type="cellIs" dxfId="879" priority="71" operator="between">
      <formula>10</formula>
      <formula>15</formula>
    </cfRule>
    <cfRule type="cellIs" dxfId="878" priority="72" operator="between">
      <formula>5</formula>
      <formula>9</formula>
    </cfRule>
    <cfRule type="cellIs" dxfId="877" priority="73" operator="between">
      <formula>0</formula>
      <formula>4</formula>
    </cfRule>
  </conditionalFormatting>
  <conditionalFormatting sqref="B41">
    <cfRule type="containsText" dxfId="876" priority="68" operator="containsText" text="WHS">
      <formula>NOT(ISERROR(SEARCH("WHS",B41)))</formula>
    </cfRule>
    <cfRule type="containsText" dxfId="875" priority="69" operator="containsText" text="Environment">
      <formula>NOT(ISERROR(SEARCH("Environment",B41)))</formula>
    </cfRule>
  </conditionalFormatting>
  <conditionalFormatting sqref="B41">
    <cfRule type="containsText" dxfId="874" priority="67" operator="containsText" text="Quality">
      <formula>NOT(ISERROR(SEARCH("Quality",B41)))</formula>
    </cfRule>
  </conditionalFormatting>
  <conditionalFormatting sqref="F41">
    <cfRule type="cellIs" dxfId="873" priority="74" operator="between">
      <formula>16</formula>
      <formula>25</formula>
    </cfRule>
    <cfRule type="cellIs" dxfId="872" priority="75" operator="between">
      <formula>10</formula>
      <formula>15</formula>
    </cfRule>
    <cfRule type="cellIs" dxfId="871" priority="76" operator="between">
      <formula>5</formula>
      <formula>9</formula>
    </cfRule>
    <cfRule type="cellIs" dxfId="870" priority="77" operator="between">
      <formula>0</formula>
      <formula>4</formula>
    </cfRule>
  </conditionalFormatting>
  <conditionalFormatting sqref="K42">
    <cfRule type="cellIs" dxfId="869" priority="59" operator="between">
      <formula>16</formula>
      <formula>25</formula>
    </cfRule>
    <cfRule type="cellIs" dxfId="868" priority="60" operator="between">
      <formula>10</formula>
      <formula>15</formula>
    </cfRule>
    <cfRule type="cellIs" dxfId="867" priority="61" operator="between">
      <formula>5</formula>
      <formula>9</formula>
    </cfRule>
    <cfRule type="cellIs" dxfId="866" priority="62" operator="between">
      <formula>0</formula>
      <formula>4</formula>
    </cfRule>
  </conditionalFormatting>
  <conditionalFormatting sqref="B42">
    <cfRule type="containsText" dxfId="865" priority="57" operator="containsText" text="WHS">
      <formula>NOT(ISERROR(SEARCH("WHS",B42)))</formula>
    </cfRule>
    <cfRule type="containsText" dxfId="864" priority="58" operator="containsText" text="Environment">
      <formula>NOT(ISERROR(SEARCH("Environment",B42)))</formula>
    </cfRule>
  </conditionalFormatting>
  <conditionalFormatting sqref="B42">
    <cfRule type="containsText" dxfId="863" priority="56" operator="containsText" text="Quality">
      <formula>NOT(ISERROR(SEARCH("Quality",B42)))</formula>
    </cfRule>
  </conditionalFormatting>
  <conditionalFormatting sqref="F42">
    <cfRule type="cellIs" dxfId="862" priority="63" operator="between">
      <formula>16</formula>
      <formula>25</formula>
    </cfRule>
    <cfRule type="cellIs" dxfId="861" priority="64" operator="between">
      <formula>10</formula>
      <formula>15</formula>
    </cfRule>
    <cfRule type="cellIs" dxfId="860" priority="65" operator="between">
      <formula>5</formula>
      <formula>9</formula>
    </cfRule>
    <cfRule type="cellIs" dxfId="859" priority="66" operator="between">
      <formula>0</formula>
      <formula>4</formula>
    </cfRule>
  </conditionalFormatting>
  <conditionalFormatting sqref="K43">
    <cfRule type="cellIs" dxfId="858" priority="48" operator="between">
      <formula>16</formula>
      <formula>25</formula>
    </cfRule>
    <cfRule type="cellIs" dxfId="857" priority="49" operator="between">
      <formula>10</formula>
      <formula>15</formula>
    </cfRule>
    <cfRule type="cellIs" dxfId="856" priority="50" operator="between">
      <formula>5</formula>
      <formula>9</formula>
    </cfRule>
    <cfRule type="cellIs" dxfId="855" priority="51" operator="between">
      <formula>0</formula>
      <formula>4</formula>
    </cfRule>
  </conditionalFormatting>
  <conditionalFormatting sqref="B43">
    <cfRule type="containsText" dxfId="854" priority="46" operator="containsText" text="WHS">
      <formula>NOT(ISERROR(SEARCH("WHS",B43)))</formula>
    </cfRule>
    <cfRule type="containsText" dxfId="853" priority="47" operator="containsText" text="Environment">
      <formula>NOT(ISERROR(SEARCH("Environment",B43)))</formula>
    </cfRule>
  </conditionalFormatting>
  <conditionalFormatting sqref="B43">
    <cfRule type="containsText" dxfId="852" priority="45" operator="containsText" text="Quality">
      <formula>NOT(ISERROR(SEARCH("Quality",B43)))</formula>
    </cfRule>
  </conditionalFormatting>
  <conditionalFormatting sqref="F43">
    <cfRule type="cellIs" dxfId="851" priority="52" operator="between">
      <formula>16</formula>
      <formula>25</formula>
    </cfRule>
    <cfRule type="cellIs" dxfId="850" priority="53" operator="between">
      <formula>10</formula>
      <formula>15</formula>
    </cfRule>
    <cfRule type="cellIs" dxfId="849" priority="54" operator="between">
      <formula>5</formula>
      <formula>9</formula>
    </cfRule>
    <cfRule type="cellIs" dxfId="848" priority="55" operator="between">
      <formula>0</formula>
      <formula>4</formula>
    </cfRule>
  </conditionalFormatting>
  <conditionalFormatting sqref="K44">
    <cfRule type="cellIs" dxfId="847" priority="37" operator="between">
      <formula>16</formula>
      <formula>25</formula>
    </cfRule>
    <cfRule type="cellIs" dxfId="846" priority="38" operator="between">
      <formula>10</formula>
      <formula>15</formula>
    </cfRule>
    <cfRule type="cellIs" dxfId="845" priority="39" operator="between">
      <formula>5</formula>
      <formula>9</formula>
    </cfRule>
    <cfRule type="cellIs" dxfId="844" priority="40" operator="between">
      <formula>0</formula>
      <formula>4</formula>
    </cfRule>
  </conditionalFormatting>
  <conditionalFormatting sqref="B44">
    <cfRule type="containsText" dxfId="843" priority="35" operator="containsText" text="WHS">
      <formula>NOT(ISERROR(SEARCH("WHS",B44)))</formula>
    </cfRule>
    <cfRule type="containsText" dxfId="842" priority="36" operator="containsText" text="Environment">
      <formula>NOT(ISERROR(SEARCH("Environment",B44)))</formula>
    </cfRule>
  </conditionalFormatting>
  <conditionalFormatting sqref="B44">
    <cfRule type="containsText" dxfId="841" priority="34" operator="containsText" text="Quality">
      <formula>NOT(ISERROR(SEARCH("Quality",B44)))</formula>
    </cfRule>
  </conditionalFormatting>
  <conditionalFormatting sqref="F44">
    <cfRule type="cellIs" dxfId="840" priority="41" operator="between">
      <formula>16</formula>
      <formula>25</formula>
    </cfRule>
    <cfRule type="cellIs" dxfId="839" priority="42" operator="between">
      <formula>10</formula>
      <formula>15</formula>
    </cfRule>
    <cfRule type="cellIs" dxfId="838" priority="43" operator="between">
      <formula>5</formula>
      <formula>9</formula>
    </cfRule>
    <cfRule type="cellIs" dxfId="837" priority="44" operator="between">
      <formula>0</formula>
      <formula>4</formula>
    </cfRule>
  </conditionalFormatting>
  <conditionalFormatting sqref="K45">
    <cfRule type="cellIs" dxfId="836" priority="26" operator="between">
      <formula>16</formula>
      <formula>25</formula>
    </cfRule>
    <cfRule type="cellIs" dxfId="835" priority="27" operator="between">
      <formula>10</formula>
      <formula>15</formula>
    </cfRule>
    <cfRule type="cellIs" dxfId="834" priority="28" operator="between">
      <formula>5</formula>
      <formula>9</formula>
    </cfRule>
    <cfRule type="cellIs" dxfId="833" priority="29" operator="between">
      <formula>0</formula>
      <formula>4</formula>
    </cfRule>
  </conditionalFormatting>
  <conditionalFormatting sqref="B45">
    <cfRule type="containsText" dxfId="832" priority="24" operator="containsText" text="WHS">
      <formula>NOT(ISERROR(SEARCH("WHS",B45)))</formula>
    </cfRule>
    <cfRule type="containsText" dxfId="831" priority="25" operator="containsText" text="Environment">
      <formula>NOT(ISERROR(SEARCH("Environment",B45)))</formula>
    </cfRule>
  </conditionalFormatting>
  <conditionalFormatting sqref="B45">
    <cfRule type="containsText" dxfId="830" priority="23" operator="containsText" text="Quality">
      <formula>NOT(ISERROR(SEARCH("Quality",B45)))</formula>
    </cfRule>
  </conditionalFormatting>
  <conditionalFormatting sqref="F45">
    <cfRule type="cellIs" dxfId="829" priority="30" operator="between">
      <formula>16</formula>
      <formula>25</formula>
    </cfRule>
    <cfRule type="cellIs" dxfId="828" priority="31" operator="between">
      <formula>10</formula>
      <formula>15</formula>
    </cfRule>
    <cfRule type="cellIs" dxfId="827" priority="32" operator="between">
      <formula>5</formula>
      <formula>9</formula>
    </cfRule>
    <cfRule type="cellIs" dxfId="826" priority="33" operator="between">
      <formula>0</formula>
      <formula>4</formula>
    </cfRule>
  </conditionalFormatting>
  <conditionalFormatting sqref="K46">
    <cfRule type="cellIs" dxfId="825" priority="15" operator="between">
      <formula>16</formula>
      <formula>25</formula>
    </cfRule>
    <cfRule type="cellIs" dxfId="824" priority="16" operator="between">
      <formula>10</formula>
      <formula>15</formula>
    </cfRule>
    <cfRule type="cellIs" dxfId="823" priority="17" operator="between">
      <formula>5</formula>
      <formula>9</formula>
    </cfRule>
    <cfRule type="cellIs" dxfId="822" priority="18" operator="between">
      <formula>0</formula>
      <formula>4</formula>
    </cfRule>
  </conditionalFormatting>
  <conditionalFormatting sqref="B46">
    <cfRule type="containsText" dxfId="821" priority="13" operator="containsText" text="WHS">
      <formula>NOT(ISERROR(SEARCH("WHS",B46)))</formula>
    </cfRule>
    <cfRule type="containsText" dxfId="820" priority="14" operator="containsText" text="Environment">
      <formula>NOT(ISERROR(SEARCH("Environment",B46)))</formula>
    </cfRule>
  </conditionalFormatting>
  <conditionalFormatting sqref="B46">
    <cfRule type="containsText" dxfId="819" priority="12" operator="containsText" text="Quality">
      <formula>NOT(ISERROR(SEARCH("Quality",B46)))</formula>
    </cfRule>
  </conditionalFormatting>
  <conditionalFormatting sqref="F46">
    <cfRule type="cellIs" dxfId="818" priority="19" operator="between">
      <formula>16</formula>
      <formula>25</formula>
    </cfRule>
    <cfRule type="cellIs" dxfId="817" priority="20" operator="between">
      <formula>10</formula>
      <formula>15</formula>
    </cfRule>
    <cfRule type="cellIs" dxfId="816" priority="21" operator="between">
      <formula>5</formula>
      <formula>9</formula>
    </cfRule>
    <cfRule type="cellIs" dxfId="815" priority="22" operator="between">
      <formula>0</formula>
      <formula>4</formula>
    </cfRule>
  </conditionalFormatting>
  <conditionalFormatting sqref="K47">
    <cfRule type="cellIs" dxfId="814" priority="4" operator="between">
      <formula>16</formula>
      <formula>25</formula>
    </cfRule>
    <cfRule type="cellIs" dxfId="813" priority="5" operator="between">
      <formula>10</formula>
      <formula>15</formula>
    </cfRule>
    <cfRule type="cellIs" dxfId="812" priority="6" operator="between">
      <formula>5</formula>
      <formula>9</formula>
    </cfRule>
    <cfRule type="cellIs" dxfId="811" priority="7" operator="between">
      <formula>0</formula>
      <formula>4</formula>
    </cfRule>
  </conditionalFormatting>
  <conditionalFormatting sqref="B47">
    <cfRule type="containsText" dxfId="810" priority="2" operator="containsText" text="WHS">
      <formula>NOT(ISERROR(SEARCH("WHS",B47)))</formula>
    </cfRule>
    <cfRule type="containsText" dxfId="809" priority="3" operator="containsText" text="Environment">
      <formula>NOT(ISERROR(SEARCH("Environment",B47)))</formula>
    </cfRule>
  </conditionalFormatting>
  <conditionalFormatting sqref="B47">
    <cfRule type="containsText" dxfId="808" priority="1" operator="containsText" text="Quality">
      <formula>NOT(ISERROR(SEARCH("Quality",B47)))</formula>
    </cfRule>
  </conditionalFormatting>
  <conditionalFormatting sqref="F47">
    <cfRule type="cellIs" dxfId="807" priority="8" operator="between">
      <formula>16</formula>
      <formula>25</formula>
    </cfRule>
    <cfRule type="cellIs" dxfId="806" priority="9" operator="between">
      <formula>10</formula>
      <formula>15</formula>
    </cfRule>
    <cfRule type="cellIs" dxfId="805" priority="10" operator="between">
      <formula>5</formula>
      <formula>9</formula>
    </cfRule>
    <cfRule type="cellIs" dxfId="804" priority="11" operator="between">
      <formula>0</formula>
      <formula>4</formula>
    </cfRule>
  </conditionalFormatting>
  <dataValidations count="4">
    <dataValidation allowBlank="1" showInputMessage="1" showErrorMessage="1" prompt="Select the Severity of the Risk" sqref="T14:T24 O61:O71 T4 O15:O25" xr:uid="{00000000-0002-0000-0500-000000000000}"/>
    <dataValidation type="list" allowBlank="1" showInputMessage="1" showErrorMessage="1" sqref="J48:J52 J1" xr:uid="{00000000-0002-0000-0500-000001000000}">
      <formula1>INDIRECT($B1)</formula1>
    </dataValidation>
    <dataValidation type="list" showInputMessage="1" showErrorMessage="1" sqref="E48:E55 E1" xr:uid="{00000000-0002-0000-0500-000002000000}">
      <formula1>INDIRECT($B1)</formula1>
    </dataValidation>
    <dataValidation type="list" showInputMessage="1" showErrorMessage="1" sqref="D48:D55 D1" xr:uid="{00000000-0002-0000-0500-000003000000}">
      <formula1>Probability</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500-000004000000}">
          <x14:formula1>
            <xm:f>'Risk Information '!$A$2:$A$7</xm:f>
          </x14:formula1>
          <xm:sqref>D56:D84 I48:I84 I1:I38 D2:D38</xm:sqref>
        </x14:dataValidation>
        <x14:dataValidation type="list" showInputMessage="1" showErrorMessage="1" xr:uid="{00000000-0002-0000-0500-000005000000}">
          <x14:formula1>
            <xm:f>'Risk Information '!$A$34:$A$37</xm:f>
          </x14:formula1>
          <xm:sqref>B1:B93</xm:sqref>
        </x14:dataValidation>
        <x14:dataValidation type="list" allowBlank="1" showInputMessage="1" showErrorMessage="1" xr:uid="{00000000-0002-0000-0500-000006000000}">
          <x14:formula1>
            <xm:f>'Risk Information '!$A$9:$A$13</xm:f>
          </x14:formula1>
          <xm:sqref>J53:J82 J84 E56:E84 E2:E38 J2:J36 J38</xm:sqref>
        </x14:dataValidation>
        <x14:dataValidation type="list" allowBlank="1" showInputMessage="1" showErrorMessage="1" xr:uid="{00000000-0002-0000-0500-000007000000}">
          <x14:formula1>
            <xm:f>'Risk Information '!$D$16:$D$20</xm:f>
          </x14:formula1>
          <xm:sqref>S10:S38 N57:N93 S1:S4 N11:N47</xm:sqref>
        </x14:dataValidation>
        <x14:dataValidation type="list" allowBlank="1" showInputMessage="1" showErrorMessage="1" prompt="Select the Likelihood of the Risk Occuring_x000a_" xr:uid="{00000000-0002-0000-0500-000008000000}">
          <x14:formula1>
            <xm:f>'Risk Information '!$A$9:$A$13</xm:f>
          </x14:formula1>
          <xm:sqref>J85:J93 J83 E85:E93 J37 J39:J47 E39:E47</xm:sqref>
        </x14:dataValidation>
        <x14:dataValidation type="list" allowBlank="1" showInputMessage="1" showErrorMessage="1" prompt="Select the Severity of the Risk" xr:uid="{00000000-0002-0000-0500-000009000000}">
          <x14:formula1>
            <xm:f>'Risk Information '!$A$2:$A$7</xm:f>
          </x14:formula1>
          <xm:sqref>D85:D93 I85:I93 D39:D47 I39:I47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fitToPage="1"/>
  </sheetPr>
  <dimension ref="A1:Z1505"/>
  <sheetViews>
    <sheetView view="pageLayout" zoomScaleNormal="100" workbookViewId="0">
      <selection activeCell="M4" sqref="M4:N5"/>
    </sheetView>
  </sheetViews>
  <sheetFormatPr defaultRowHeight="15" x14ac:dyDescent="0.25"/>
  <cols>
    <col min="1" max="1" width="15.7109375" customWidth="1"/>
    <col min="2" max="2" width="19" bestFit="1" customWidth="1"/>
    <col min="3" max="3" width="9.28515625" bestFit="1" customWidth="1"/>
    <col min="4" max="4" width="14.5703125" bestFit="1" customWidth="1"/>
    <col min="5" max="5" width="20.7109375" bestFit="1" customWidth="1"/>
    <col min="6" max="6" width="5.28515625" bestFit="1" customWidth="1"/>
    <col min="7" max="7" width="27.7109375" customWidth="1"/>
    <col min="8" max="8" width="24.140625" bestFit="1" customWidth="1"/>
    <col min="9" max="9" width="10.140625" bestFit="1" customWidth="1"/>
    <col min="10" max="10" width="12.85546875" bestFit="1" customWidth="1"/>
    <col min="11" max="11" width="11.7109375" bestFit="1" customWidth="1"/>
    <col min="12" max="12" width="12" bestFit="1" customWidth="1"/>
    <col min="13" max="13" width="12.28515625" bestFit="1" customWidth="1"/>
    <col min="14" max="14" width="19.28515625" bestFit="1" customWidth="1"/>
    <col min="15" max="15" width="4.85546875" bestFit="1" customWidth="1"/>
    <col min="16" max="16" width="7.5703125" bestFit="1" customWidth="1"/>
  </cols>
  <sheetData>
    <row r="1" spans="1:26" ht="15.75" x14ac:dyDescent="0.25">
      <c r="A1" s="220" t="s">
        <v>97</v>
      </c>
      <c r="B1" s="220"/>
      <c r="C1" s="220"/>
      <c r="D1" s="221" t="s">
        <v>103</v>
      </c>
      <c r="E1" s="221"/>
      <c r="F1" s="221"/>
      <c r="G1" s="221"/>
      <c r="H1" s="221"/>
      <c r="I1" s="221"/>
    </row>
    <row r="2" spans="1:26" x14ac:dyDescent="0.25">
      <c r="A2" s="222" t="s">
        <v>107</v>
      </c>
      <c r="B2" s="223"/>
      <c r="C2" s="224"/>
      <c r="D2" s="225" t="str">
        <f>IF(D1='Risk Information '!$A$22, "Working within 2m of a trafficable area", IF(D1='Risk Information '!$A$23, "Acquiring Heights of Overhead Lines", IF(D1='Risk Information '!$A$24, "Accessing confined Smithyces",IF(D1='Risk Information '!$A$25, "Working in general vicinity of trenches", IF(D1='Risk Information '!$A$26, "Visual Inspection of High Voltage Equipment", IF(D1='Risk Information '!$A$27, "Visual Inspection of Low Voltage Equipment", IF(D1='Risk Information '!$A$28, "Working in vicinity of Live Overhead Assets", IF(D1='Risk Information '!$A$29, "Working in vicinity of Construction Machinery", IF(D1='Risk Information '!$A$30, "Working near a site currently being developed", IF(D1='Risk Information '!$A$31, "Performing Earthing Tests on Site",""))))))))))</f>
        <v>Working in vicinity of Live Overhead Assets</v>
      </c>
      <c r="E2" s="226"/>
      <c r="F2" s="226"/>
      <c r="G2" s="226"/>
      <c r="H2" s="226"/>
      <c r="I2" s="227"/>
    </row>
    <row r="3" spans="1:26" ht="15.75" x14ac:dyDescent="0.25">
      <c r="A3" s="228" t="s">
        <v>108</v>
      </c>
      <c r="B3" s="228"/>
      <c r="C3" s="229"/>
      <c r="D3" s="229"/>
      <c r="E3" s="229"/>
      <c r="F3" s="229" t="s">
        <v>109</v>
      </c>
      <c r="G3" s="229"/>
      <c r="H3" s="229"/>
      <c r="I3" s="229"/>
      <c r="J3" s="230"/>
      <c r="K3" s="230"/>
      <c r="L3" s="22" t="s">
        <v>110</v>
      </c>
      <c r="M3" s="230"/>
      <c r="N3" s="230"/>
    </row>
    <row r="4" spans="1:26" x14ac:dyDescent="0.25">
      <c r="A4" s="231" t="s">
        <v>111</v>
      </c>
      <c r="B4" s="231"/>
      <c r="C4" s="232" t="s">
        <v>319</v>
      </c>
      <c r="D4" s="232"/>
      <c r="E4" s="232"/>
      <c r="F4" s="231" t="s">
        <v>112</v>
      </c>
      <c r="G4" s="231"/>
      <c r="H4" s="233"/>
      <c r="I4" s="234"/>
      <c r="J4" s="235"/>
      <c r="K4" s="233" t="s">
        <v>113</v>
      </c>
      <c r="L4" s="234"/>
      <c r="M4" s="234" t="str">
        <f>IF(C4='Risk Information '!$G$22,"(07) 4757 3026",IF(C4='Risk Information '!$G$23,"(07) 4032 3253",""))</f>
        <v>(07) 4032 3253</v>
      </c>
      <c r="N4" s="234"/>
    </row>
    <row r="5" spans="1:26" x14ac:dyDescent="0.25">
      <c r="A5" s="231"/>
      <c r="B5" s="231"/>
      <c r="C5" s="232"/>
      <c r="D5" s="232"/>
      <c r="E5" s="232"/>
      <c r="F5" s="231"/>
      <c r="G5" s="231"/>
      <c r="H5" s="236"/>
      <c r="I5" s="237"/>
      <c r="J5" s="238"/>
      <c r="K5" s="239"/>
      <c r="L5" s="240"/>
      <c r="M5" s="240"/>
      <c r="N5" s="240"/>
    </row>
    <row r="6" spans="1:26" x14ac:dyDescent="0.25">
      <c r="A6" s="104" t="s">
        <v>10</v>
      </c>
      <c r="B6" s="104" t="s">
        <v>117</v>
      </c>
      <c r="C6" s="104" t="s">
        <v>11</v>
      </c>
      <c r="D6" s="108" t="s">
        <v>114</v>
      </c>
      <c r="E6" s="108"/>
      <c r="F6" s="108"/>
      <c r="G6" s="104" t="s">
        <v>23</v>
      </c>
      <c r="H6" s="110" t="s">
        <v>116</v>
      </c>
      <c r="I6" s="110"/>
      <c r="J6" s="110"/>
      <c r="K6" s="110"/>
      <c r="L6" s="110"/>
      <c r="M6" s="104" t="s">
        <v>24</v>
      </c>
      <c r="N6" s="104" t="s">
        <v>96</v>
      </c>
      <c r="O6" s="104" t="s">
        <v>49</v>
      </c>
      <c r="P6" s="104" t="s">
        <v>48</v>
      </c>
      <c r="Q6" s="7"/>
      <c r="R6" s="7"/>
      <c r="S6" s="7"/>
      <c r="T6" s="7"/>
      <c r="U6" s="7"/>
    </row>
    <row r="7" spans="1:26" ht="25.5" x14ac:dyDescent="0.25">
      <c r="A7" s="105"/>
      <c r="B7" s="105"/>
      <c r="C7" s="105"/>
      <c r="D7" s="17" t="s">
        <v>12</v>
      </c>
      <c r="E7" s="17" t="s">
        <v>115</v>
      </c>
      <c r="F7" s="18" t="s">
        <v>271</v>
      </c>
      <c r="G7" s="105"/>
      <c r="H7" s="60" t="s">
        <v>26</v>
      </c>
      <c r="I7" s="17" t="s">
        <v>12</v>
      </c>
      <c r="J7" s="17" t="s">
        <v>115</v>
      </c>
      <c r="K7" s="17" t="s">
        <v>251</v>
      </c>
      <c r="L7" s="17" t="s">
        <v>23</v>
      </c>
      <c r="M7" s="105"/>
      <c r="N7" s="105"/>
      <c r="O7" s="105"/>
      <c r="P7" s="105"/>
      <c r="Q7" s="7"/>
      <c r="R7" s="7"/>
      <c r="S7" s="7"/>
      <c r="T7" s="7"/>
      <c r="U7" s="7"/>
    </row>
    <row r="8" spans="1:26" ht="180" x14ac:dyDescent="0.25">
      <c r="A8" s="56" t="s">
        <v>132</v>
      </c>
      <c r="B8" s="29" t="s">
        <v>157</v>
      </c>
      <c r="C8" s="29" t="str">
        <f>IF(B8="Quality",'Risk Information '!$B$34,IF(B8="Environment",'Risk Information '!$B$35,IF(B8="WHS",'Risk Information '!$B$36,)))</f>
        <v>AS/NZS ISO 14001:2016</v>
      </c>
      <c r="D8" s="19" t="s">
        <v>7</v>
      </c>
      <c r="E8" s="19" t="s">
        <v>154</v>
      </c>
      <c r="F8" s="13">
        <f t="shared" ref="F8:F16" si="0">IF(OR(ISBLANK(D8), ISBLANK(E8)),"",LEFT(D8,1)*LEFT(E8,1))</f>
        <v>3</v>
      </c>
      <c r="G8" s="59" t="str">
        <f>IF(F8&gt;15,'Risk Information '!$A$16,IF('Risk Register'!F8&gt;9,'Risk Information '!$A$17,IF('Risk Register'!F8&gt;4,'Risk Information '!$A$18,IF(OR(F8=0, F8=""), "N/A",'Risk Information '!$A$19))))</f>
        <v>Permission from high level management is permitted before work can proceed or further reduce risk.</v>
      </c>
      <c r="H8" s="34" t="s">
        <v>140</v>
      </c>
      <c r="I8" s="8" t="s">
        <v>9</v>
      </c>
      <c r="J8" s="8" t="s">
        <v>154</v>
      </c>
      <c r="K8" s="9">
        <f t="shared" ref="K8:K16" si="1">IF(OR(ISBLANK(I8), ISBLANK(J8)),"",LEFT(I8,1)*LEFT(J8,1))</f>
        <v>1</v>
      </c>
      <c r="L8" s="59" t="str">
        <f>IF(K8&gt;15,'Risk Matrix'!$C$30,IF('Risk Register'!K8&gt;9,'Risk Matrix'!$C$29,IF('Risk Register'!K8&gt;4,'Risk Matrix'!$C$28,IF(OR(K8=0, K8=""), "N/A",'Risk Matrix'!$C$27))))</f>
        <v>Management responsibility must be specified.  Policy and procedures must be documented.  Works cannot proceed without management oversight.  Records should be audited annually.</v>
      </c>
      <c r="M8" s="13"/>
      <c r="N8" s="12"/>
      <c r="O8" s="12"/>
      <c r="P8" s="12"/>
      <c r="U8" s="7"/>
      <c r="V8" s="7"/>
      <c r="W8" s="7"/>
      <c r="X8" s="7"/>
      <c r="Y8" s="7"/>
      <c r="Z8" s="7"/>
    </row>
    <row r="9" spans="1:26" ht="112.5" x14ac:dyDescent="0.25">
      <c r="A9" s="56" t="s">
        <v>129</v>
      </c>
      <c r="B9" s="29" t="s">
        <v>157</v>
      </c>
      <c r="C9" s="29" t="str">
        <f>IF(B9="Quality",'Risk Information '!$B$34,IF(B9="Environment",'Risk Information '!$B$35,IF(B9="WHS",'Risk Information '!$B$36,)))</f>
        <v>AS/NZS ISO 14001:2016</v>
      </c>
      <c r="D9" s="19" t="s">
        <v>5</v>
      </c>
      <c r="E9" s="19" t="s">
        <v>154</v>
      </c>
      <c r="F9" s="13">
        <f t="shared" si="0"/>
        <v>5</v>
      </c>
      <c r="G9" s="59" t="str">
        <f>IF(F9&gt;15,'Risk Information '!$A$16,IF('Risk Register'!F9&gt;9,'Risk Information '!$A$17,IF('Risk Register'!F9&gt;4,'Risk Information '!$A$18,IF(OR(F9=0, F9=""), "N/A",'Risk Information '!$A$19))))</f>
        <v>Permission from worker in charge is permitted before work can proceed.</v>
      </c>
      <c r="H9" s="34" t="s">
        <v>137</v>
      </c>
      <c r="I9" s="8" t="s">
        <v>5</v>
      </c>
      <c r="J9" s="8" t="s">
        <v>18</v>
      </c>
      <c r="K9" s="9">
        <f t="shared" si="1"/>
        <v>5</v>
      </c>
      <c r="L9" s="59" t="str">
        <f>IF(K9&gt;15,'Risk Matrix'!$C$30,IF('Risk Register'!K9&gt;9,'Risk Matrix'!$C$29,IF('Risk Register'!K9&gt;4,'Risk Matrix'!$C$28,IF(OR(K9=0, K9=""), "N/A",'Risk Matrix'!$C$27))))</f>
        <v>Managed by routine procedures.  Records should be audited annually.  Work may proceed without specific management oversight.</v>
      </c>
      <c r="M9" s="13"/>
      <c r="N9" s="12"/>
      <c r="O9" s="12"/>
      <c r="P9" s="12"/>
      <c r="U9" s="7"/>
      <c r="V9" s="7"/>
      <c r="W9" s="7"/>
      <c r="X9" s="7"/>
      <c r="Y9" s="7"/>
      <c r="Z9" s="7"/>
    </row>
    <row r="10" spans="1:26" ht="180" x14ac:dyDescent="0.25">
      <c r="A10" s="56" t="s">
        <v>312</v>
      </c>
      <c r="B10" s="29" t="s">
        <v>157</v>
      </c>
      <c r="C10" s="29" t="str">
        <f>IF(B10="Quality",'Risk Information '!$B$34,IF(B10="Environment",'Risk Information '!$B$35,IF(B10="WHS",'Risk Information '!$B$36,)))</f>
        <v>AS/NZS ISO 14001:2016</v>
      </c>
      <c r="D10" s="19" t="s">
        <v>6</v>
      </c>
      <c r="E10" s="19" t="s">
        <v>154</v>
      </c>
      <c r="F10" s="13">
        <f t="shared" si="0"/>
        <v>4</v>
      </c>
      <c r="G10" s="59" t="str">
        <f>IF(F10&gt;15,'Risk Information '!$A$16,IF('Risk Register'!F10&gt;9,'Risk Information '!$A$17,IF('Risk Register'!F10&gt;4,'Risk Information '!$A$18,IF(OR(F10=0, F10=""), "N/A",'Risk Information '!$A$19))))</f>
        <v>Permission from high level management is permitted before work can proceed or further reduce risk.</v>
      </c>
      <c r="H10" s="34" t="s">
        <v>141</v>
      </c>
      <c r="I10" s="8" t="s">
        <v>6</v>
      </c>
      <c r="J10" s="8" t="s">
        <v>154</v>
      </c>
      <c r="K10" s="9">
        <f t="shared" si="1"/>
        <v>4</v>
      </c>
      <c r="L10" s="59" t="str">
        <f>IF(K10&gt;15,'Risk Matrix'!$C$30,IF('Risk Register'!K10&gt;9,'Risk Matrix'!$C$29,IF('Risk Register'!K10&gt;4,'Risk Matrix'!$C$28,IF(OR(K10=0, K10=""), "N/A",'Risk Matrix'!$C$27))))</f>
        <v>Management responsibility must be specified.  Policy and procedures must be documented.  Works cannot proceed without management oversight.  Records should be audited annually.</v>
      </c>
      <c r="M10" s="13"/>
      <c r="N10" s="12"/>
      <c r="O10" s="12"/>
      <c r="P10" s="12"/>
      <c r="U10" s="7"/>
      <c r="V10" s="7"/>
      <c r="W10" s="7"/>
      <c r="X10" s="7"/>
      <c r="Y10" s="7"/>
      <c r="Z10" s="7"/>
    </row>
    <row r="11" spans="1:26" ht="112.5" x14ac:dyDescent="0.25">
      <c r="A11" s="33" t="s">
        <v>142</v>
      </c>
      <c r="B11" s="29" t="s">
        <v>157</v>
      </c>
      <c r="C11" s="29" t="str">
        <f>IF(B11="Quality",'Risk Information '!$B$34,IF(B11="Environment",'Risk Information '!$B$35,IF(B11="WHS",'Risk Information '!$B$36,)))</f>
        <v>AS/NZS ISO 14001:2016</v>
      </c>
      <c r="D11" s="19" t="s">
        <v>8</v>
      </c>
      <c r="E11" s="19" t="s">
        <v>150</v>
      </c>
      <c r="F11" s="13">
        <f t="shared" si="0"/>
        <v>10</v>
      </c>
      <c r="G11" s="59" t="str">
        <f>IF(F11&gt;15,'Risk Information '!$A$16,IF('Risk Register'!F11&gt;9,'Risk Information '!$A$17,IF('Risk Register'!F11&gt;4,'Risk Information '!$A$18,IF(OR(F11=0, F11=""), "N/A",'Risk Information '!$A$19))))</f>
        <v>Permission from high level management is permitted before work can proceed or further reduce risk.</v>
      </c>
      <c r="H11" s="34" t="s">
        <v>143</v>
      </c>
      <c r="I11" s="8" t="s">
        <v>9</v>
      </c>
      <c r="J11" s="8" t="s">
        <v>150</v>
      </c>
      <c r="K11" s="9">
        <f t="shared" si="1"/>
        <v>5</v>
      </c>
      <c r="L11" s="59" t="str">
        <f>IF(K11&gt;15,'Risk Matrix'!$C$30,IF('Risk Register'!K11&gt;9,'Risk Matrix'!$C$29,IF('Risk Register'!K11&gt;4,'Risk Matrix'!$C$28,IF(OR(K11=0, K11=""), "N/A",'Risk Matrix'!$C$27))))</f>
        <v>Managed by routine procedures.  Records should be audited annually.  Work may proceed without specific management oversight.</v>
      </c>
      <c r="M11" s="13"/>
      <c r="N11" s="12"/>
      <c r="O11" s="12"/>
      <c r="P11" s="12"/>
    </row>
    <row r="12" spans="1:26" ht="180" x14ac:dyDescent="0.25">
      <c r="A12" s="29" t="s">
        <v>94</v>
      </c>
      <c r="B12" s="29" t="s">
        <v>156</v>
      </c>
      <c r="C12" s="29" t="str">
        <f>IF(B12="Quality",'Risk Information '!$B$34,IF(B12="Environment",'Risk Information '!$B$35,IF(B12="WHS",'Risk Information '!$B$36,)))</f>
        <v>Work Health and Safety Act (QLD) 2013</v>
      </c>
      <c r="D12" s="19" t="s">
        <v>8</v>
      </c>
      <c r="E12" s="19" t="s">
        <v>14</v>
      </c>
      <c r="F12" s="13">
        <f t="shared" si="0"/>
        <v>10</v>
      </c>
      <c r="G12" s="59" t="str">
        <f>IF(F12&gt;15,'Risk Information '!$A$16,IF('Risk Register'!F12&gt;9,'Risk Information '!$A$17,IF('Risk Register'!F12&gt;4,'Risk Information '!$A$18,IF(OR(F12=0, F12=""), "N/A",'Risk Information '!$A$19))))</f>
        <v>Permission from high level management is permitted before work can proceed or further reduce risk.</v>
      </c>
      <c r="H12" s="11" t="s">
        <v>95</v>
      </c>
      <c r="I12" s="8" t="s">
        <v>125</v>
      </c>
      <c r="J12" s="8" t="s">
        <v>124</v>
      </c>
      <c r="K12" s="9">
        <f t="shared" si="1"/>
        <v>10</v>
      </c>
      <c r="L12" s="59" t="str">
        <f>IF(K12&gt;15,'Risk Matrix'!$C$30,IF('Risk Register'!K12&gt;9,'Risk Matrix'!$C$29,IF('Risk Register'!K12&gt;4,'Risk Matrix'!$C$28,IF(OR(K12=0, K12=""), "N/A",'Risk Matrix'!$C$27))))</f>
        <v>Management responsibility must be specified.  Policy and procedures must be documented.  Works cannot proceed without management oversight.  Records should be audited annually.</v>
      </c>
      <c r="M12" s="13" t="str">
        <f t="shared" ref="M12:M16" si="2">IF(F12="","",IF(F12&gt;3,"Yes","No"))</f>
        <v>Yes</v>
      </c>
      <c r="N12" s="12"/>
      <c r="O12" s="12"/>
      <c r="P12" s="12"/>
    </row>
    <row r="13" spans="1:26" ht="180" x14ac:dyDescent="0.25">
      <c r="A13" s="29" t="s">
        <v>94</v>
      </c>
      <c r="B13" s="29" t="s">
        <v>156</v>
      </c>
      <c r="C13" s="29" t="str">
        <f>IF(B13="Quality",'Risk Information '!$B$34,IF(B13="Environment",'Risk Information '!$B$35,IF(B13="WHS",'Risk Information '!$B$36,)))</f>
        <v>Work Health and Safety Act (QLD) 2013</v>
      </c>
      <c r="D13" s="19" t="s">
        <v>7</v>
      </c>
      <c r="E13" s="19" t="s">
        <v>15</v>
      </c>
      <c r="F13" s="13">
        <f t="shared" si="0"/>
        <v>12</v>
      </c>
      <c r="G13" s="59" t="str">
        <f>IF(F13&gt;15,'Risk Information '!$A$16,IF('Risk Register'!F13&gt;9,'Risk Information '!$A$17,IF('Risk Register'!F13&gt;4,'Risk Information '!$A$18,IF(OR(F13=0, F13=""), "N/A",'Risk Information '!$A$19))))</f>
        <v>Permission from high level management is permitted before work can proceed or further reduce risk.</v>
      </c>
      <c r="H13" s="11" t="s">
        <v>95</v>
      </c>
      <c r="I13" s="8" t="s">
        <v>9</v>
      </c>
      <c r="J13" s="8" t="s">
        <v>15</v>
      </c>
      <c r="K13" s="9">
        <f t="shared" si="1"/>
        <v>4</v>
      </c>
      <c r="L13" s="59" t="str">
        <f>IF(K13&gt;15,'Risk Matrix'!$C$30,IF('Risk Register'!K13&gt;9,'Risk Matrix'!$C$29,IF('Risk Register'!K13&gt;4,'Risk Matrix'!$C$28,IF(OR(K13=0, K13=""), "N/A",'Risk Matrix'!$C$27))))</f>
        <v>Management responsibility must be specified.  Policy and procedures must be documented.  Works cannot proceed without management oversight.  Records should be audited annually.</v>
      </c>
      <c r="M13" s="13" t="str">
        <f t="shared" si="2"/>
        <v>Yes</v>
      </c>
      <c r="N13" s="12"/>
      <c r="O13" s="12"/>
      <c r="P13" s="12"/>
    </row>
    <row r="14" spans="1:26" ht="180" x14ac:dyDescent="0.25">
      <c r="A14" s="29" t="s">
        <v>82</v>
      </c>
      <c r="B14" s="29" t="s">
        <v>156</v>
      </c>
      <c r="C14" s="29" t="str">
        <f>IF(B14="Quality",'Risk Information '!$B$34,IF(B14="Environment",'Risk Information '!$B$35,IF(B14="WHS",'Risk Information '!$B$36,)))</f>
        <v>Work Health and Safety Act (QLD) 2013</v>
      </c>
      <c r="D14" s="19" t="s">
        <v>7</v>
      </c>
      <c r="E14" s="19" t="s">
        <v>16</v>
      </c>
      <c r="F14" s="13">
        <f t="shared" si="0"/>
        <v>9</v>
      </c>
      <c r="G14" s="59" t="str">
        <f>IF(F14&gt;15,'Risk Information '!$A$16,IF('Risk Register'!F14&gt;9,'Risk Information '!$A$17,IF('Risk Register'!F14&gt;4,'Risk Information '!$A$18,IF(OR(F14=0, F14=""), "N/A",'Risk Information '!$A$19))))</f>
        <v>Permission from worker in charge is permitted before work can proceed.</v>
      </c>
      <c r="H14" s="11" t="s">
        <v>83</v>
      </c>
      <c r="I14" s="8" t="s">
        <v>9</v>
      </c>
      <c r="J14" s="8" t="s">
        <v>17</v>
      </c>
      <c r="K14" s="9">
        <f t="shared" si="1"/>
        <v>2</v>
      </c>
      <c r="L14" s="59" t="str">
        <f>IF(K14&gt;15,'Risk Matrix'!$C$30,IF('Risk Register'!K14&gt;9,'Risk Matrix'!$C$29,IF('Risk Register'!K14&gt;4,'Risk Matrix'!$C$28,IF(OR(K14=0, K14=""), "N/A",'Risk Matrix'!$C$27))))</f>
        <v>Management responsibility must be specified.  Policy and procedures must be documented.  Works cannot proceed without management oversight.  Records should be audited annually.</v>
      </c>
      <c r="M14" s="13" t="str">
        <f t="shared" si="2"/>
        <v>Yes</v>
      </c>
      <c r="N14" s="12"/>
      <c r="O14" s="12"/>
      <c r="P14" s="12"/>
    </row>
    <row r="15" spans="1:26" ht="409.5" x14ac:dyDescent="0.25">
      <c r="A15" s="29" t="s">
        <v>72</v>
      </c>
      <c r="B15" s="29" t="s">
        <v>156</v>
      </c>
      <c r="C15" s="29" t="str">
        <f>IF(B15="Quality",'Risk Information '!$B$34,IF(B15="Environment",'Risk Information '!$B$35,IF(B15="WHS",'Risk Information '!$B$36,)))</f>
        <v>Work Health and Safety Act (QLD) 2013</v>
      </c>
      <c r="D15" s="19" t="s">
        <v>7</v>
      </c>
      <c r="E15" s="19" t="s">
        <v>14</v>
      </c>
      <c r="F15" s="13">
        <f t="shared" si="0"/>
        <v>15</v>
      </c>
      <c r="G15" s="59" t="str">
        <f>IF(F15&gt;15,'Risk Information '!$A$16,IF('Risk Register'!F15&gt;9,'Risk Information '!$A$17,IF('Risk Register'!F15&gt;4,'Risk Information '!$A$18,IF(OR(F15=0, F15=""), "N/A",'Risk Information '!$A$19))))</f>
        <v>Permission from high level management is permitted before work can proceed or further reduce risk.</v>
      </c>
      <c r="H15" s="10" t="s">
        <v>310</v>
      </c>
      <c r="I15" s="8" t="s">
        <v>9</v>
      </c>
      <c r="J15" s="8" t="s">
        <v>15</v>
      </c>
      <c r="K15" s="9">
        <f t="shared" si="1"/>
        <v>4</v>
      </c>
      <c r="L15" s="59" t="str">
        <f>IF(K15&gt;15,'Risk Matrix'!$C$30,IF('Risk Register'!K15&gt;9,'Risk Matrix'!$C$29,IF('Risk Register'!K15&gt;4,'Risk Matrix'!$C$28,IF(OR(K15=0, K15=""), "N/A",'Risk Matrix'!$C$27))))</f>
        <v xml:space="preserve">Management attention is needed. Control/preventive measures must be documented, monitored, measured and reviewed periodically for adequacy and compliance. Director must be directly involved and approve in writing for works to proceed.  Responsibility for monitoring and verification activities must be clearly defined and documented.  Corrective action (to be taken when unacceptable variations occur) must be documented.  Records must be maintained to demonstrate that the above requirements are being undertaken, and audited at least monthly. </v>
      </c>
      <c r="M15" s="13" t="str">
        <f t="shared" si="2"/>
        <v>Yes</v>
      </c>
      <c r="N15" s="20"/>
      <c r="O15" s="12"/>
      <c r="P15" s="12"/>
    </row>
    <row r="16" spans="1:26" ht="135" x14ac:dyDescent="0.25">
      <c r="A16" s="29" t="s">
        <v>63</v>
      </c>
      <c r="B16" s="29" t="s">
        <v>156</v>
      </c>
      <c r="C16" s="29" t="str">
        <f>IF(B16="Quality",'Risk Information '!$B$34,IF(B16="Environment",'Risk Information '!$B$35,IF(B16="WHS",'Risk Information '!$B$36,)))</f>
        <v>Work Health and Safety Act (QLD) 2013</v>
      </c>
      <c r="D16" s="19" t="s">
        <v>7</v>
      </c>
      <c r="E16" s="19" t="s">
        <v>15</v>
      </c>
      <c r="F16" s="13">
        <f t="shared" si="0"/>
        <v>12</v>
      </c>
      <c r="G16" s="59" t="str">
        <f>IF(F16&gt;15,'Risk Information '!$A$16,IF('Risk Register'!F16&gt;9,'Risk Information '!$A$17,IF('Risk Register'!F16&gt;4,'Risk Information '!$A$18,IF(OR(F16=0, F16=""), "N/A",'Risk Information '!$A$19))))</f>
        <v>Permission from worker in charge is permitted before work can proceed.</v>
      </c>
      <c r="H16" s="5" t="s">
        <v>64</v>
      </c>
      <c r="I16" s="8" t="s">
        <v>9</v>
      </c>
      <c r="J16" s="8" t="s">
        <v>15</v>
      </c>
      <c r="K16" s="9">
        <f t="shared" si="1"/>
        <v>4</v>
      </c>
      <c r="L16" s="59" t="str">
        <f>IF(K16&gt;15,'Risk Matrix'!$C$30,IF('Risk Register'!K16&gt;9,'Risk Matrix'!$C$29,IF('Risk Register'!K16&gt;4,'Risk Matrix'!$C$28,IF(OR(K16=0, K16=""), "N/A",'Risk Matrix'!$C$27))))</f>
        <v>Managed by routine procedures.  Records should be audited annually.  Work may proceed without specific management oversight.</v>
      </c>
      <c r="M16" s="13" t="str">
        <f t="shared" si="2"/>
        <v>Yes</v>
      </c>
      <c r="N16" s="20"/>
      <c r="O16" s="19"/>
      <c r="P16" s="19"/>
    </row>
    <row r="801" spans="1:1" x14ac:dyDescent="0.25">
      <c r="A801" s="95"/>
    </row>
    <row r="802" spans="1:1" x14ac:dyDescent="0.25">
      <c r="A802" s="95"/>
    </row>
    <row r="803" spans="1:1" x14ac:dyDescent="0.25">
      <c r="A803" s="95"/>
    </row>
    <row r="804" spans="1:1" x14ac:dyDescent="0.25">
      <c r="A804" s="95"/>
    </row>
    <row r="805" spans="1:1" x14ac:dyDescent="0.25">
      <c r="A805" s="95"/>
    </row>
    <row r="806" spans="1:1" x14ac:dyDescent="0.25">
      <c r="A806" s="95"/>
    </row>
    <row r="807" spans="1:1" x14ac:dyDescent="0.25">
      <c r="A807" s="95"/>
    </row>
    <row r="808" spans="1:1" x14ac:dyDescent="0.25">
      <c r="A808" s="95"/>
    </row>
    <row r="809" spans="1:1" x14ac:dyDescent="0.25">
      <c r="A809" s="95"/>
    </row>
    <row r="810" spans="1:1" x14ac:dyDescent="0.25">
      <c r="A810" s="95"/>
    </row>
    <row r="811" spans="1:1" x14ac:dyDescent="0.25">
      <c r="A811" s="95"/>
    </row>
    <row r="812" spans="1:1" x14ac:dyDescent="0.25">
      <c r="A812" s="95"/>
    </row>
    <row r="813" spans="1:1" x14ac:dyDescent="0.25">
      <c r="A813" s="95"/>
    </row>
    <row r="814" spans="1:1" x14ac:dyDescent="0.25">
      <c r="A814" s="95"/>
    </row>
    <row r="815" spans="1:1" x14ac:dyDescent="0.25">
      <c r="A815" s="95"/>
    </row>
    <row r="816" spans="1:1" x14ac:dyDescent="0.25">
      <c r="A816" s="95"/>
    </row>
    <row r="817" spans="1:1" x14ac:dyDescent="0.25">
      <c r="A817" s="95"/>
    </row>
    <row r="818" spans="1:1" x14ac:dyDescent="0.25">
      <c r="A818" s="95"/>
    </row>
    <row r="819" spans="1:1" x14ac:dyDescent="0.25">
      <c r="A819" s="95"/>
    </row>
    <row r="820" spans="1:1" x14ac:dyDescent="0.25">
      <c r="A820" s="95"/>
    </row>
    <row r="821" spans="1:1" x14ac:dyDescent="0.25">
      <c r="A821" s="95"/>
    </row>
    <row r="822" spans="1:1" x14ac:dyDescent="0.25">
      <c r="A822" s="95"/>
    </row>
    <row r="823" spans="1:1" x14ac:dyDescent="0.25">
      <c r="A823" s="95"/>
    </row>
    <row r="824" spans="1:1" x14ac:dyDescent="0.25">
      <c r="A824" s="95"/>
    </row>
    <row r="825" spans="1:1" x14ac:dyDescent="0.25">
      <c r="A825" s="95"/>
    </row>
    <row r="826" spans="1:1" x14ac:dyDescent="0.25">
      <c r="A826" s="95"/>
    </row>
    <row r="827" spans="1:1" x14ac:dyDescent="0.25">
      <c r="A827" s="95"/>
    </row>
    <row r="828" spans="1:1" x14ac:dyDescent="0.25">
      <c r="A828" s="95"/>
    </row>
    <row r="829" spans="1:1" x14ac:dyDescent="0.25">
      <c r="A829" s="95"/>
    </row>
    <row r="830" spans="1:1" x14ac:dyDescent="0.25">
      <c r="A830" s="95"/>
    </row>
    <row r="831" spans="1:1" x14ac:dyDescent="0.25">
      <c r="A831" s="95"/>
    </row>
    <row r="832" spans="1:1" x14ac:dyDescent="0.25">
      <c r="A832" s="95"/>
    </row>
    <row r="833" spans="1:1" x14ac:dyDescent="0.25">
      <c r="A833" s="95"/>
    </row>
    <row r="834" spans="1:1" x14ac:dyDescent="0.25">
      <c r="A834" s="95"/>
    </row>
    <row r="835" spans="1:1" x14ac:dyDescent="0.25">
      <c r="A835" s="95"/>
    </row>
    <row r="836" spans="1:1" x14ac:dyDescent="0.25">
      <c r="A836" s="95"/>
    </row>
    <row r="837" spans="1:1" x14ac:dyDescent="0.25">
      <c r="A837" s="95"/>
    </row>
    <row r="838" spans="1:1" x14ac:dyDescent="0.25">
      <c r="A838" s="95"/>
    </row>
    <row r="839" spans="1:1" x14ac:dyDescent="0.25">
      <c r="A839" s="95"/>
    </row>
    <row r="840" spans="1:1" x14ac:dyDescent="0.25">
      <c r="A840" s="95"/>
    </row>
    <row r="841" spans="1:1" x14ac:dyDescent="0.25">
      <c r="A841" s="95"/>
    </row>
    <row r="842" spans="1:1" x14ac:dyDescent="0.25">
      <c r="A842" s="95"/>
    </row>
    <row r="843" spans="1:1" x14ac:dyDescent="0.25">
      <c r="A843" s="95"/>
    </row>
    <row r="844" spans="1:1" x14ac:dyDescent="0.25">
      <c r="A844" s="95"/>
    </row>
    <row r="845" spans="1:1" x14ac:dyDescent="0.25">
      <c r="A845" s="95"/>
    </row>
    <row r="846" spans="1:1" x14ac:dyDescent="0.25">
      <c r="A846" s="95"/>
    </row>
    <row r="847" spans="1:1" x14ac:dyDescent="0.25">
      <c r="A847" s="95"/>
    </row>
    <row r="848" spans="1:1" x14ac:dyDescent="0.25">
      <c r="A848" s="95"/>
    </row>
    <row r="849" spans="1:1" x14ac:dyDescent="0.25">
      <c r="A849" s="95"/>
    </row>
    <row r="850" spans="1:1" x14ac:dyDescent="0.25">
      <c r="A850" s="95"/>
    </row>
    <row r="851" spans="1:1" x14ac:dyDescent="0.25">
      <c r="A851" s="95"/>
    </row>
    <row r="852" spans="1:1" x14ac:dyDescent="0.25">
      <c r="A852" s="95"/>
    </row>
    <row r="853" spans="1:1" x14ac:dyDescent="0.25">
      <c r="A853" s="95"/>
    </row>
    <row r="854" spans="1:1" x14ac:dyDescent="0.25">
      <c r="A854" s="95"/>
    </row>
    <row r="855" spans="1:1" x14ac:dyDescent="0.25">
      <c r="A855" s="95"/>
    </row>
    <row r="856" spans="1:1" x14ac:dyDescent="0.25">
      <c r="A856" s="95"/>
    </row>
    <row r="857" spans="1:1" x14ac:dyDescent="0.25">
      <c r="A857" s="95"/>
    </row>
    <row r="858" spans="1:1" x14ac:dyDescent="0.25">
      <c r="A858" s="95"/>
    </row>
    <row r="859" spans="1:1" x14ac:dyDescent="0.25">
      <c r="A859" s="95"/>
    </row>
    <row r="860" spans="1:1" x14ac:dyDescent="0.25">
      <c r="A860" s="95"/>
    </row>
    <row r="861" spans="1:1" x14ac:dyDescent="0.25">
      <c r="A861" s="95"/>
    </row>
    <row r="862" spans="1:1" x14ac:dyDescent="0.25">
      <c r="A862" s="95"/>
    </row>
    <row r="863" spans="1:1" x14ac:dyDescent="0.25">
      <c r="A863" s="95"/>
    </row>
    <row r="864" spans="1:1" x14ac:dyDescent="0.25">
      <c r="A864" s="95"/>
    </row>
    <row r="865" spans="1:1" x14ac:dyDescent="0.25">
      <c r="A865" s="95"/>
    </row>
    <row r="866" spans="1:1" x14ac:dyDescent="0.25">
      <c r="A866" s="95"/>
    </row>
    <row r="867" spans="1:1" x14ac:dyDescent="0.25">
      <c r="A867" s="95"/>
    </row>
    <row r="868" spans="1:1" x14ac:dyDescent="0.25">
      <c r="A868" s="95"/>
    </row>
    <row r="869" spans="1:1" x14ac:dyDescent="0.25">
      <c r="A869" s="95"/>
    </row>
    <row r="870" spans="1:1" x14ac:dyDescent="0.25">
      <c r="A870" s="95"/>
    </row>
    <row r="871" spans="1:1" x14ac:dyDescent="0.25">
      <c r="A871" s="95"/>
    </row>
    <row r="872" spans="1:1" x14ac:dyDescent="0.25">
      <c r="A872" s="95"/>
    </row>
    <row r="873" spans="1:1" x14ac:dyDescent="0.25">
      <c r="A873" s="95"/>
    </row>
    <row r="874" spans="1:1" x14ac:dyDescent="0.25">
      <c r="A874" s="95"/>
    </row>
    <row r="875" spans="1:1" x14ac:dyDescent="0.25">
      <c r="A875" s="95"/>
    </row>
    <row r="876" spans="1:1" x14ac:dyDescent="0.25">
      <c r="A876" s="95"/>
    </row>
    <row r="877" spans="1:1" x14ac:dyDescent="0.25">
      <c r="A877" s="95"/>
    </row>
    <row r="878" spans="1:1" x14ac:dyDescent="0.25">
      <c r="A878" s="95"/>
    </row>
    <row r="879" spans="1:1" x14ac:dyDescent="0.25">
      <c r="A879" s="95"/>
    </row>
    <row r="880" spans="1:1" x14ac:dyDescent="0.25">
      <c r="A880" s="95"/>
    </row>
    <row r="881" spans="1:1" x14ac:dyDescent="0.25">
      <c r="A881" s="95"/>
    </row>
    <row r="882" spans="1:1" x14ac:dyDescent="0.25">
      <c r="A882" s="95"/>
    </row>
    <row r="883" spans="1:1" x14ac:dyDescent="0.25">
      <c r="A883" s="95"/>
    </row>
    <row r="884" spans="1:1" x14ac:dyDescent="0.25">
      <c r="A884" s="95"/>
    </row>
    <row r="885" spans="1:1" x14ac:dyDescent="0.25">
      <c r="A885" s="95"/>
    </row>
    <row r="886" spans="1:1" x14ac:dyDescent="0.25">
      <c r="A886" s="95"/>
    </row>
    <row r="887" spans="1:1" x14ac:dyDescent="0.25">
      <c r="A887" s="95"/>
    </row>
    <row r="888" spans="1:1" x14ac:dyDescent="0.25">
      <c r="A888" s="95"/>
    </row>
    <row r="889" spans="1:1" x14ac:dyDescent="0.25">
      <c r="A889" s="95"/>
    </row>
    <row r="890" spans="1:1" x14ac:dyDescent="0.25">
      <c r="A890" s="95"/>
    </row>
    <row r="891" spans="1:1" x14ac:dyDescent="0.25">
      <c r="A891" s="95"/>
    </row>
    <row r="892" spans="1:1" x14ac:dyDescent="0.25">
      <c r="A892" s="95"/>
    </row>
    <row r="893" spans="1:1" x14ac:dyDescent="0.25">
      <c r="A893" s="95"/>
    </row>
    <row r="894" spans="1:1" x14ac:dyDescent="0.25">
      <c r="A894" s="95"/>
    </row>
    <row r="895" spans="1:1" x14ac:dyDescent="0.25">
      <c r="A895" s="95"/>
    </row>
    <row r="896" spans="1:1" x14ac:dyDescent="0.25">
      <c r="A896" s="95"/>
    </row>
    <row r="897" spans="1:1" x14ac:dyDescent="0.25">
      <c r="A897" s="95"/>
    </row>
    <row r="898" spans="1:1" x14ac:dyDescent="0.25">
      <c r="A898" s="95"/>
    </row>
    <row r="899" spans="1:1" x14ac:dyDescent="0.25">
      <c r="A899" s="95"/>
    </row>
    <row r="900" spans="1:1" x14ac:dyDescent="0.25">
      <c r="A900" s="95"/>
    </row>
    <row r="901" spans="1:1" x14ac:dyDescent="0.25">
      <c r="A901" s="95"/>
    </row>
    <row r="902" spans="1:1" x14ac:dyDescent="0.25">
      <c r="A902" s="95"/>
    </row>
    <row r="903" spans="1:1" x14ac:dyDescent="0.25">
      <c r="A903" s="95"/>
    </row>
    <row r="904" spans="1:1" x14ac:dyDescent="0.25">
      <c r="A904" s="95"/>
    </row>
    <row r="905" spans="1:1" x14ac:dyDescent="0.25">
      <c r="A905" s="95"/>
    </row>
    <row r="906" spans="1:1" x14ac:dyDescent="0.25">
      <c r="A906" s="95"/>
    </row>
    <row r="907" spans="1:1" x14ac:dyDescent="0.25">
      <c r="A907" s="95"/>
    </row>
    <row r="908" spans="1:1" x14ac:dyDescent="0.25">
      <c r="A908" s="95"/>
    </row>
    <row r="909" spans="1:1" x14ac:dyDescent="0.25">
      <c r="A909" s="95"/>
    </row>
    <row r="910" spans="1:1" x14ac:dyDescent="0.25">
      <c r="A910" s="95"/>
    </row>
    <row r="911" spans="1:1" x14ac:dyDescent="0.25">
      <c r="A911" s="95"/>
    </row>
    <row r="912" spans="1:1" x14ac:dyDescent="0.25">
      <c r="A912" s="95"/>
    </row>
    <row r="913" spans="1:1" x14ac:dyDescent="0.25">
      <c r="A913" s="95"/>
    </row>
    <row r="914" spans="1:1" x14ac:dyDescent="0.25">
      <c r="A914" s="95"/>
    </row>
    <row r="915" spans="1:1" x14ac:dyDescent="0.25">
      <c r="A915" s="95"/>
    </row>
    <row r="916" spans="1:1" x14ac:dyDescent="0.25">
      <c r="A916" s="95"/>
    </row>
    <row r="917" spans="1:1" x14ac:dyDescent="0.25">
      <c r="A917" s="95"/>
    </row>
    <row r="918" spans="1:1" x14ac:dyDescent="0.25">
      <c r="A918" s="95"/>
    </row>
    <row r="919" spans="1:1" x14ac:dyDescent="0.25">
      <c r="A919" s="95"/>
    </row>
    <row r="920" spans="1:1" x14ac:dyDescent="0.25">
      <c r="A920" s="95"/>
    </row>
    <row r="921" spans="1:1" x14ac:dyDescent="0.25">
      <c r="A921" s="95"/>
    </row>
    <row r="922" spans="1:1" x14ac:dyDescent="0.25">
      <c r="A922" s="95"/>
    </row>
    <row r="923" spans="1:1" x14ac:dyDescent="0.25">
      <c r="A923" s="95"/>
    </row>
    <row r="924" spans="1:1" x14ac:dyDescent="0.25">
      <c r="A924" s="95"/>
    </row>
    <row r="925" spans="1:1" x14ac:dyDescent="0.25">
      <c r="A925" s="95"/>
    </row>
    <row r="926" spans="1:1" x14ac:dyDescent="0.25">
      <c r="A926" s="95"/>
    </row>
    <row r="927" spans="1:1" x14ac:dyDescent="0.25">
      <c r="A927" s="95"/>
    </row>
    <row r="928" spans="1:1" x14ac:dyDescent="0.25">
      <c r="A928" s="95"/>
    </row>
    <row r="929" spans="1:1" x14ac:dyDescent="0.25">
      <c r="A929" s="95"/>
    </row>
    <row r="930" spans="1:1" x14ac:dyDescent="0.25">
      <c r="A930" s="95"/>
    </row>
    <row r="931" spans="1:1" x14ac:dyDescent="0.25">
      <c r="A931" s="95"/>
    </row>
    <row r="932" spans="1:1" x14ac:dyDescent="0.25">
      <c r="A932" s="95"/>
    </row>
    <row r="933" spans="1:1" x14ac:dyDescent="0.25">
      <c r="A933" s="95"/>
    </row>
    <row r="934" spans="1:1" x14ac:dyDescent="0.25">
      <c r="A934" s="95"/>
    </row>
    <row r="935" spans="1:1" x14ac:dyDescent="0.25">
      <c r="A935" s="95"/>
    </row>
    <row r="936" spans="1:1" x14ac:dyDescent="0.25">
      <c r="A936" s="95"/>
    </row>
    <row r="937" spans="1:1" x14ac:dyDescent="0.25">
      <c r="A937" s="95"/>
    </row>
    <row r="938" spans="1:1" x14ac:dyDescent="0.25">
      <c r="A938" s="95"/>
    </row>
    <row r="939" spans="1:1" x14ac:dyDescent="0.25">
      <c r="A939" s="95"/>
    </row>
    <row r="940" spans="1:1" x14ac:dyDescent="0.25">
      <c r="A940" s="95"/>
    </row>
    <row r="941" spans="1:1" x14ac:dyDescent="0.25">
      <c r="A941" s="95"/>
    </row>
    <row r="942" spans="1:1" x14ac:dyDescent="0.25">
      <c r="A942" s="95"/>
    </row>
    <row r="943" spans="1:1" x14ac:dyDescent="0.25">
      <c r="A943" s="95"/>
    </row>
    <row r="944" spans="1:1" x14ac:dyDescent="0.25">
      <c r="A944" s="95"/>
    </row>
    <row r="945" spans="1:1" x14ac:dyDescent="0.25">
      <c r="A945" s="95"/>
    </row>
    <row r="946" spans="1:1" x14ac:dyDescent="0.25">
      <c r="A946" s="95"/>
    </row>
    <row r="947" spans="1:1" x14ac:dyDescent="0.25">
      <c r="A947" s="95"/>
    </row>
    <row r="948" spans="1:1" x14ac:dyDescent="0.25">
      <c r="A948" s="95"/>
    </row>
    <row r="949" spans="1:1" x14ac:dyDescent="0.25">
      <c r="A949" s="95"/>
    </row>
    <row r="950" spans="1:1" x14ac:dyDescent="0.25">
      <c r="A950" s="95"/>
    </row>
    <row r="951" spans="1:1" x14ac:dyDescent="0.25">
      <c r="A951" s="95"/>
    </row>
    <row r="952" spans="1:1" x14ac:dyDescent="0.25">
      <c r="A952" s="95"/>
    </row>
    <row r="953" spans="1:1" x14ac:dyDescent="0.25">
      <c r="A953" s="95"/>
    </row>
    <row r="954" spans="1:1" x14ac:dyDescent="0.25">
      <c r="A954" s="95"/>
    </row>
    <row r="955" spans="1:1" x14ac:dyDescent="0.25">
      <c r="A955" s="95"/>
    </row>
    <row r="956" spans="1:1" x14ac:dyDescent="0.25">
      <c r="A956" s="95"/>
    </row>
    <row r="957" spans="1:1" x14ac:dyDescent="0.25">
      <c r="A957" s="95"/>
    </row>
    <row r="958" spans="1:1" x14ac:dyDescent="0.25">
      <c r="A958" s="95"/>
    </row>
    <row r="959" spans="1:1" x14ac:dyDescent="0.25">
      <c r="A959" s="95"/>
    </row>
    <row r="960" spans="1:1" x14ac:dyDescent="0.25">
      <c r="A960" s="95"/>
    </row>
    <row r="961" spans="1:1" x14ac:dyDescent="0.25">
      <c r="A961" s="95"/>
    </row>
    <row r="962" spans="1:1" x14ac:dyDescent="0.25">
      <c r="A962" s="95"/>
    </row>
    <row r="963" spans="1:1" x14ac:dyDescent="0.25">
      <c r="A963" s="95"/>
    </row>
    <row r="964" spans="1:1" x14ac:dyDescent="0.25">
      <c r="A964" s="95"/>
    </row>
    <row r="965" spans="1:1" x14ac:dyDescent="0.25">
      <c r="A965" s="95"/>
    </row>
    <row r="966" spans="1:1" x14ac:dyDescent="0.25">
      <c r="A966" s="95"/>
    </row>
    <row r="967" spans="1:1" x14ac:dyDescent="0.25">
      <c r="A967" s="95"/>
    </row>
    <row r="968" spans="1:1" x14ac:dyDescent="0.25">
      <c r="A968" s="95"/>
    </row>
    <row r="969" spans="1:1" x14ac:dyDescent="0.25">
      <c r="A969" s="95"/>
    </row>
    <row r="970" spans="1:1" x14ac:dyDescent="0.25">
      <c r="A970" s="95"/>
    </row>
    <row r="971" spans="1:1" x14ac:dyDescent="0.25">
      <c r="A971" s="95"/>
    </row>
    <row r="972" spans="1:1" x14ac:dyDescent="0.25">
      <c r="A972" s="95"/>
    </row>
    <row r="973" spans="1:1" x14ac:dyDescent="0.25">
      <c r="A973" s="95"/>
    </row>
    <row r="974" spans="1:1" x14ac:dyDescent="0.25">
      <c r="A974" s="95"/>
    </row>
    <row r="975" spans="1:1" x14ac:dyDescent="0.25">
      <c r="A975" s="95"/>
    </row>
    <row r="976" spans="1:1" x14ac:dyDescent="0.25">
      <c r="A976" s="95"/>
    </row>
    <row r="977" spans="1:1" x14ac:dyDescent="0.25">
      <c r="A977" s="95"/>
    </row>
    <row r="978" spans="1:1" x14ac:dyDescent="0.25">
      <c r="A978" s="95"/>
    </row>
    <row r="979" spans="1:1" x14ac:dyDescent="0.25">
      <c r="A979" s="95"/>
    </row>
    <row r="980" spans="1:1" x14ac:dyDescent="0.25">
      <c r="A980" s="95"/>
    </row>
    <row r="981" spans="1:1" x14ac:dyDescent="0.25">
      <c r="A981" s="95"/>
    </row>
    <row r="982" spans="1:1" x14ac:dyDescent="0.25">
      <c r="A982" s="95"/>
    </row>
    <row r="983" spans="1:1" x14ac:dyDescent="0.25">
      <c r="A983" s="95"/>
    </row>
    <row r="984" spans="1:1" x14ac:dyDescent="0.25">
      <c r="A984" s="95"/>
    </row>
    <row r="985" spans="1:1" x14ac:dyDescent="0.25">
      <c r="A985" s="95"/>
    </row>
    <row r="986" spans="1:1" x14ac:dyDescent="0.25">
      <c r="A986" s="95"/>
    </row>
    <row r="987" spans="1:1" x14ac:dyDescent="0.25">
      <c r="A987" s="95"/>
    </row>
    <row r="988" spans="1:1" x14ac:dyDescent="0.25">
      <c r="A988" s="95"/>
    </row>
    <row r="989" spans="1:1" x14ac:dyDescent="0.25">
      <c r="A989" s="95"/>
    </row>
    <row r="990" spans="1:1" x14ac:dyDescent="0.25">
      <c r="A990" s="95"/>
    </row>
    <row r="991" spans="1:1" x14ac:dyDescent="0.25">
      <c r="A991" s="95"/>
    </row>
    <row r="992" spans="1:1" x14ac:dyDescent="0.25">
      <c r="A992" s="95"/>
    </row>
    <row r="993" spans="1:16" x14ac:dyDescent="0.25">
      <c r="A993" s="95"/>
    </row>
    <row r="994" spans="1:16" x14ac:dyDescent="0.25">
      <c r="A994" s="95"/>
    </row>
    <row r="995" spans="1:16" x14ac:dyDescent="0.25">
      <c r="A995" s="95"/>
    </row>
    <row r="996" spans="1:16" x14ac:dyDescent="0.25">
      <c r="A996" s="95"/>
    </row>
    <row r="997" spans="1:16" x14ac:dyDescent="0.25">
      <c r="A997" s="95"/>
    </row>
    <row r="998" spans="1:16" x14ac:dyDescent="0.25">
      <c r="A998" s="95"/>
    </row>
    <row r="999" spans="1:16" x14ac:dyDescent="0.25">
      <c r="A999" s="95"/>
    </row>
    <row r="1000" spans="1:16" x14ac:dyDescent="0.25">
      <c r="A1000" s="95"/>
    </row>
    <row r="1001" spans="1:16" x14ac:dyDescent="0.25">
      <c r="A1001" s="95"/>
    </row>
    <row r="1002" spans="1:16" x14ac:dyDescent="0.25">
      <c r="A1002" s="95"/>
    </row>
    <row r="1003" spans="1:16" x14ac:dyDescent="0.25">
      <c r="A1003" s="95"/>
    </row>
    <row r="1004" spans="1:16" x14ac:dyDescent="0.25">
      <c r="A1004" s="95"/>
    </row>
    <row r="1005" spans="1:16" x14ac:dyDescent="0.25">
      <c r="A1005" s="95"/>
    </row>
    <row r="1006" spans="1:16" x14ac:dyDescent="0.25">
      <c r="A1006" s="94"/>
      <c r="B1006" s="85"/>
      <c r="C1006" s="85"/>
      <c r="D1006" s="86"/>
      <c r="E1006" s="86"/>
      <c r="F1006" s="9"/>
      <c r="G1006" s="86"/>
      <c r="H1006" s="84"/>
      <c r="I1006" s="86"/>
      <c r="J1006" s="86"/>
      <c r="K1006" s="9"/>
      <c r="L1006" s="86"/>
      <c r="M1006" s="9"/>
      <c r="N1006" s="7"/>
      <c r="O1006" s="7"/>
      <c r="P1006" s="7"/>
    </row>
    <row r="1007" spans="1:16" x14ac:dyDescent="0.25">
      <c r="A1007" s="94"/>
      <c r="B1007" s="85"/>
      <c r="C1007" s="85"/>
      <c r="D1007" s="86"/>
      <c r="E1007" s="86"/>
      <c r="F1007" s="9"/>
      <c r="G1007" s="86"/>
      <c r="H1007" s="84"/>
      <c r="I1007" s="86"/>
      <c r="J1007" s="86"/>
      <c r="K1007" s="9"/>
      <c r="L1007" s="86"/>
      <c r="M1007" s="9"/>
      <c r="N1007" s="7"/>
      <c r="O1007" s="7"/>
      <c r="P1007" s="7"/>
    </row>
    <row r="1008" spans="1:16" x14ac:dyDescent="0.25">
      <c r="A1008" s="94"/>
      <c r="B1008" s="85"/>
      <c r="C1008" s="85"/>
      <c r="D1008" s="86"/>
      <c r="E1008" s="86"/>
      <c r="F1008" s="9"/>
      <c r="G1008" s="86"/>
      <c r="H1008" s="84"/>
      <c r="I1008" s="86"/>
      <c r="J1008" s="86"/>
      <c r="K1008" s="9"/>
      <c r="L1008" s="86"/>
      <c r="M1008" s="9"/>
      <c r="N1008" s="7"/>
      <c r="O1008" s="7"/>
      <c r="P1008" s="7"/>
    </row>
    <row r="1009" spans="1:16" x14ac:dyDescent="0.25">
      <c r="A1009" s="94"/>
      <c r="B1009" s="85"/>
      <c r="C1009" s="85"/>
      <c r="D1009" s="86"/>
      <c r="E1009" s="86"/>
      <c r="F1009" s="9"/>
      <c r="G1009" s="86"/>
      <c r="H1009" s="84"/>
      <c r="I1009" s="86"/>
      <c r="J1009" s="86"/>
      <c r="K1009" s="9"/>
      <c r="L1009" s="86"/>
      <c r="M1009" s="9"/>
      <c r="N1009" s="7"/>
      <c r="O1009" s="7"/>
      <c r="P1009" s="7"/>
    </row>
    <row r="1010" spans="1:16" x14ac:dyDescent="0.25">
      <c r="A1010" s="94"/>
      <c r="B1010" s="85"/>
      <c r="C1010" s="85"/>
      <c r="D1010" s="86"/>
      <c r="E1010" s="86"/>
      <c r="F1010" s="9"/>
      <c r="G1010" s="86"/>
      <c r="H1010" s="84"/>
      <c r="I1010" s="86"/>
      <c r="J1010" s="86"/>
      <c r="K1010" s="9"/>
      <c r="L1010" s="86"/>
      <c r="M1010" s="9"/>
      <c r="N1010" s="7"/>
      <c r="O1010" s="7"/>
      <c r="P1010" s="7"/>
    </row>
    <row r="1011" spans="1:16" x14ac:dyDescent="0.25">
      <c r="A1011" s="94"/>
      <c r="B1011" s="85"/>
      <c r="C1011" s="85"/>
      <c r="D1011" s="86"/>
      <c r="E1011" s="86"/>
      <c r="F1011" s="9"/>
      <c r="G1011" s="86"/>
      <c r="H1011" s="84"/>
      <c r="I1011" s="86"/>
      <c r="J1011" s="86"/>
      <c r="K1011" s="9"/>
      <c r="L1011" s="86"/>
      <c r="M1011" s="9"/>
      <c r="N1011" s="7"/>
      <c r="O1011" s="7"/>
      <c r="P1011" s="7"/>
    </row>
    <row r="1012" spans="1:16" x14ac:dyDescent="0.25">
      <c r="A1012" s="94"/>
      <c r="B1012" s="85"/>
      <c r="C1012" s="85"/>
      <c r="D1012" s="86"/>
      <c r="E1012" s="86"/>
      <c r="F1012" s="9"/>
      <c r="G1012" s="86"/>
      <c r="H1012" s="84"/>
      <c r="I1012" s="86"/>
      <c r="J1012" s="86"/>
      <c r="K1012" s="9"/>
      <c r="L1012" s="86"/>
      <c r="M1012" s="9"/>
      <c r="N1012" s="7"/>
      <c r="O1012" s="7"/>
      <c r="P1012" s="7"/>
    </row>
    <row r="1013" spans="1:16" x14ac:dyDescent="0.25">
      <c r="A1013" s="94"/>
      <c r="B1013" s="85"/>
      <c r="C1013" s="85"/>
      <c r="D1013" s="86"/>
      <c r="E1013" s="86"/>
      <c r="F1013" s="9"/>
      <c r="G1013" s="86"/>
      <c r="H1013" s="84"/>
      <c r="I1013" s="86"/>
      <c r="J1013" s="86"/>
      <c r="K1013" s="9"/>
      <c r="L1013" s="86"/>
      <c r="M1013" s="9"/>
      <c r="N1013" s="7"/>
      <c r="O1013" s="7"/>
      <c r="P1013" s="7"/>
    </row>
    <row r="1014" spans="1:16" x14ac:dyDescent="0.25">
      <c r="A1014" s="85"/>
      <c r="B1014" s="85"/>
      <c r="C1014" s="85"/>
      <c r="D1014" s="86"/>
      <c r="E1014" s="86"/>
      <c r="F1014" s="9"/>
      <c r="G1014" s="86"/>
      <c r="H1014" s="87"/>
      <c r="I1014" s="86"/>
      <c r="J1014" s="86"/>
      <c r="K1014" s="9"/>
      <c r="L1014" s="86"/>
      <c r="M1014" s="9"/>
      <c r="N1014" s="7"/>
      <c r="O1014" s="7"/>
      <c r="P1014" s="7"/>
    </row>
    <row r="1015" spans="1:16" x14ac:dyDescent="0.25">
      <c r="A1015" s="85"/>
      <c r="B1015" s="85"/>
      <c r="C1015" s="85"/>
      <c r="D1015" s="86"/>
      <c r="E1015" s="86"/>
      <c r="F1015" s="9"/>
      <c r="G1015" s="86"/>
      <c r="H1015" s="88"/>
      <c r="I1015" s="86"/>
      <c r="J1015" s="86"/>
      <c r="K1015" s="9"/>
      <c r="L1015" s="86"/>
      <c r="M1015" s="9"/>
      <c r="N1015" s="55"/>
      <c r="O1015" s="7"/>
      <c r="P1015" s="7"/>
    </row>
    <row r="1016" spans="1:16" x14ac:dyDescent="0.25">
      <c r="A1016" s="85"/>
      <c r="B1016" s="85"/>
      <c r="C1016" s="85"/>
      <c r="D1016" s="86"/>
      <c r="E1016" s="86"/>
      <c r="F1016" s="9"/>
      <c r="G1016" s="86"/>
      <c r="H1016" s="88"/>
      <c r="I1016" s="86"/>
      <c r="J1016" s="86"/>
      <c r="K1016" s="9"/>
      <c r="L1016" s="86"/>
      <c r="M1016" s="9"/>
      <c r="N1016" s="55"/>
      <c r="O1016" s="7"/>
      <c r="P1016" s="7"/>
    </row>
    <row r="1017" spans="1:16" x14ac:dyDescent="0.25">
      <c r="A1017" s="85"/>
      <c r="B1017" s="85"/>
      <c r="C1017" s="85"/>
      <c r="D1017" s="86"/>
      <c r="E1017" s="86"/>
      <c r="F1017" s="9"/>
      <c r="G1017" s="86"/>
      <c r="H1017" s="88"/>
      <c r="I1017" s="86"/>
      <c r="J1017" s="86"/>
      <c r="K1017" s="9"/>
      <c r="L1017" s="86"/>
      <c r="M1017" s="9"/>
      <c r="N1017" s="55"/>
      <c r="O1017" s="7"/>
      <c r="P1017" s="7"/>
    </row>
    <row r="1018" spans="1:16" x14ac:dyDescent="0.25">
      <c r="A1018" s="85"/>
      <c r="B1018" s="85"/>
      <c r="C1018" s="85"/>
      <c r="D1018" s="86"/>
      <c r="E1018" s="86"/>
      <c r="F1018" s="9"/>
      <c r="G1018" s="86"/>
      <c r="H1018" s="88"/>
      <c r="I1018" s="86"/>
      <c r="J1018" s="86"/>
      <c r="K1018" s="9"/>
      <c r="L1018" s="86"/>
      <c r="M1018" s="9"/>
      <c r="N1018" s="55"/>
      <c r="O1018" s="7"/>
      <c r="P1018" s="7"/>
    </row>
    <row r="1019" spans="1:16" x14ac:dyDescent="0.25">
      <c r="A1019" s="85"/>
      <c r="B1019" s="85"/>
      <c r="C1019" s="85"/>
      <c r="D1019" s="86"/>
      <c r="E1019" s="86"/>
      <c r="F1019" s="9"/>
      <c r="G1019" s="86"/>
      <c r="H1019" s="88"/>
      <c r="I1019" s="86"/>
      <c r="J1019" s="86"/>
      <c r="K1019" s="9"/>
      <c r="L1019" s="86"/>
      <c r="M1019" s="9"/>
      <c r="N1019" s="55"/>
      <c r="O1019" s="86"/>
      <c r="P1019" s="7"/>
    </row>
    <row r="1020" spans="1:16" x14ac:dyDescent="0.25">
      <c r="A1020" s="85"/>
      <c r="B1020" s="85"/>
      <c r="C1020" s="85"/>
      <c r="D1020" s="86"/>
      <c r="E1020" s="86"/>
      <c r="F1020" s="9"/>
      <c r="G1020" s="86"/>
      <c r="H1020" s="88"/>
      <c r="I1020" s="86"/>
      <c r="J1020" s="86"/>
      <c r="K1020" s="9"/>
      <c r="L1020" s="86"/>
      <c r="M1020" s="9"/>
      <c r="N1020" s="55"/>
      <c r="O1020" s="86"/>
      <c r="P1020" s="86"/>
    </row>
    <row r="1021" spans="1:16" x14ac:dyDescent="0.25">
      <c r="A1021" s="85"/>
      <c r="B1021" s="85"/>
      <c r="C1021" s="85"/>
      <c r="D1021" s="86"/>
      <c r="E1021" s="86"/>
      <c r="F1021" s="9"/>
      <c r="G1021" s="86"/>
      <c r="H1021" s="88"/>
      <c r="I1021" s="86"/>
      <c r="J1021" s="86"/>
      <c r="K1021" s="9"/>
      <c r="L1021" s="86"/>
      <c r="M1021" s="9"/>
      <c r="N1021" s="55"/>
      <c r="O1021" s="86"/>
      <c r="P1021" s="86"/>
    </row>
    <row r="1022" spans="1:16" x14ac:dyDescent="0.25">
      <c r="A1022" s="85"/>
      <c r="B1022" s="85"/>
      <c r="C1022" s="85"/>
      <c r="D1022" s="86"/>
      <c r="E1022" s="86"/>
      <c r="F1022" s="9"/>
      <c r="G1022" s="86"/>
      <c r="H1022" s="88"/>
      <c r="I1022" s="86"/>
      <c r="J1022" s="86"/>
      <c r="K1022" s="9"/>
      <c r="L1022" s="86"/>
      <c r="M1022" s="9"/>
      <c r="N1022" s="55"/>
      <c r="O1022" s="86"/>
      <c r="P1022" s="86"/>
    </row>
    <row r="1023" spans="1:16" x14ac:dyDescent="0.25">
      <c r="A1023" s="85"/>
      <c r="B1023" s="85"/>
      <c r="C1023" s="85"/>
      <c r="D1023" s="86"/>
      <c r="E1023" s="86"/>
      <c r="F1023" s="9"/>
      <c r="G1023" s="86"/>
      <c r="H1023" s="89"/>
      <c r="I1023" s="86"/>
      <c r="J1023" s="86"/>
      <c r="K1023" s="9"/>
      <c r="L1023" s="86"/>
      <c r="M1023" s="9"/>
      <c r="N1023" s="55"/>
      <c r="O1023" s="86"/>
      <c r="P1023" s="86"/>
    </row>
    <row r="1024" spans="1:16" x14ac:dyDescent="0.25">
      <c r="A1024" s="85"/>
      <c r="B1024" s="85"/>
      <c r="C1024" s="85"/>
      <c r="D1024" s="86"/>
      <c r="E1024" s="86"/>
      <c r="F1024" s="9"/>
      <c r="G1024" s="86"/>
      <c r="H1024" s="89"/>
      <c r="I1024" s="86"/>
      <c r="J1024" s="86"/>
      <c r="K1024" s="9"/>
      <c r="L1024" s="86"/>
      <c r="M1024" s="9"/>
      <c r="N1024" s="55"/>
      <c r="O1024" s="86"/>
      <c r="P1024" s="86"/>
    </row>
    <row r="1025" spans="1:16" x14ac:dyDescent="0.25">
      <c r="A1025" s="85"/>
      <c r="B1025" s="85"/>
      <c r="C1025" s="85"/>
      <c r="D1025" s="86"/>
      <c r="E1025" s="86"/>
      <c r="F1025" s="9"/>
      <c r="G1025" s="86"/>
      <c r="H1025" s="89"/>
      <c r="I1025" s="86"/>
      <c r="J1025" s="86"/>
      <c r="K1025" s="9"/>
      <c r="L1025" s="86"/>
      <c r="M1025" s="9"/>
      <c r="N1025" s="55"/>
      <c r="O1025" s="86"/>
      <c r="P1025" s="86"/>
    </row>
    <row r="1026" spans="1:16" x14ac:dyDescent="0.25">
      <c r="A1026" s="85"/>
      <c r="B1026" s="85"/>
      <c r="C1026" s="85"/>
      <c r="D1026" s="86"/>
      <c r="E1026" s="86"/>
      <c r="F1026" s="9"/>
      <c r="G1026" s="86"/>
      <c r="H1026" s="89"/>
      <c r="I1026" s="86"/>
      <c r="J1026" s="86"/>
      <c r="K1026" s="9"/>
      <c r="L1026" s="86"/>
      <c r="M1026" s="9"/>
      <c r="N1026" s="55"/>
      <c r="O1026" s="86"/>
      <c r="P1026" s="86"/>
    </row>
    <row r="1027" spans="1:16" x14ac:dyDescent="0.25">
      <c r="A1027" s="85"/>
      <c r="B1027" s="85"/>
      <c r="C1027" s="85"/>
      <c r="D1027" s="86"/>
      <c r="E1027" s="86"/>
      <c r="F1027" s="9"/>
      <c r="G1027" s="86"/>
      <c r="H1027" s="89"/>
      <c r="I1027" s="86"/>
      <c r="J1027" s="86"/>
      <c r="K1027" s="9"/>
      <c r="L1027" s="86"/>
      <c r="M1027" s="9"/>
      <c r="N1027" s="55"/>
      <c r="O1027" s="86"/>
      <c r="P1027" s="86"/>
    </row>
    <row r="1028" spans="1:16" x14ac:dyDescent="0.25">
      <c r="A1028" s="85"/>
      <c r="B1028" s="85"/>
      <c r="C1028" s="85"/>
      <c r="D1028" s="86"/>
      <c r="E1028" s="86"/>
      <c r="F1028" s="9"/>
      <c r="G1028" s="86"/>
      <c r="H1028" s="89"/>
      <c r="I1028" s="86"/>
      <c r="J1028" s="86"/>
      <c r="K1028" s="9"/>
      <c r="L1028" s="86"/>
      <c r="M1028" s="9"/>
      <c r="N1028" s="55"/>
      <c r="O1028" s="86"/>
      <c r="P1028" s="86"/>
    </row>
    <row r="1029" spans="1:16" x14ac:dyDescent="0.25">
      <c r="A1029" s="85"/>
      <c r="B1029" s="85"/>
      <c r="C1029" s="85"/>
      <c r="D1029" s="86"/>
      <c r="E1029" s="86"/>
      <c r="F1029" s="9"/>
      <c r="G1029" s="86"/>
      <c r="H1029" s="89"/>
      <c r="I1029" s="86"/>
      <c r="J1029" s="86"/>
      <c r="K1029" s="9"/>
      <c r="L1029" s="86"/>
      <c r="M1029" s="9"/>
      <c r="N1029" s="55"/>
      <c r="O1029" s="86"/>
      <c r="P1029" s="86"/>
    </row>
    <row r="1030" spans="1:16" x14ac:dyDescent="0.25">
      <c r="A1030" s="85"/>
      <c r="B1030" s="85"/>
      <c r="C1030" s="85"/>
      <c r="D1030" s="86"/>
      <c r="E1030" s="86"/>
      <c r="F1030" s="9"/>
      <c r="G1030" s="86"/>
      <c r="H1030" s="89"/>
      <c r="I1030" s="86"/>
      <c r="J1030" s="86"/>
      <c r="K1030" s="9"/>
      <c r="L1030" s="86"/>
      <c r="M1030" s="9"/>
      <c r="N1030" s="55"/>
      <c r="O1030" s="90"/>
      <c r="P1030" s="86"/>
    </row>
    <row r="1031" spans="1:16" x14ac:dyDescent="0.25">
      <c r="A1031" s="85"/>
      <c r="B1031" s="85"/>
      <c r="C1031" s="85"/>
      <c r="D1031" s="86"/>
      <c r="E1031" s="86"/>
      <c r="F1031" s="9"/>
      <c r="G1031" s="86"/>
      <c r="H1031" s="89"/>
      <c r="I1031" s="86"/>
      <c r="J1031" s="86"/>
      <c r="K1031" s="9"/>
      <c r="L1031" s="86"/>
      <c r="M1031" s="9"/>
      <c r="N1031" s="55"/>
      <c r="O1031" s="90"/>
      <c r="P1031" s="86"/>
    </row>
    <row r="1032" spans="1:16" x14ac:dyDescent="0.25">
      <c r="A1032" s="85"/>
      <c r="B1032" s="85"/>
      <c r="C1032" s="85"/>
      <c r="D1032" s="86"/>
      <c r="E1032" s="86"/>
      <c r="F1032" s="9"/>
      <c r="G1032" s="86"/>
      <c r="H1032" s="89"/>
      <c r="I1032" s="86"/>
      <c r="J1032" s="86"/>
      <c r="K1032" s="9"/>
      <c r="L1032" s="86"/>
      <c r="M1032" s="9"/>
      <c r="N1032" s="55"/>
      <c r="O1032" s="90"/>
      <c r="P1032" s="86"/>
    </row>
    <row r="1033" spans="1:16" x14ac:dyDescent="0.25">
      <c r="A1033" s="85"/>
      <c r="B1033" s="85"/>
      <c r="C1033" s="85"/>
      <c r="D1033" s="86"/>
      <c r="E1033" s="86"/>
      <c r="F1033" s="9"/>
      <c r="G1033" s="86"/>
      <c r="H1033" s="89"/>
      <c r="I1033" s="86"/>
      <c r="J1033" s="86"/>
      <c r="K1033" s="9"/>
      <c r="L1033" s="86"/>
      <c r="M1033" s="9"/>
      <c r="N1033" s="55"/>
      <c r="O1033" s="90"/>
      <c r="P1033" s="86"/>
    </row>
    <row r="1034" spans="1:16" x14ac:dyDescent="0.25">
      <c r="A1034" s="85"/>
      <c r="B1034" s="85"/>
      <c r="C1034" s="85"/>
      <c r="D1034" s="86"/>
      <c r="E1034" s="86"/>
      <c r="F1034" s="9"/>
      <c r="G1034" s="86"/>
      <c r="H1034" s="89"/>
      <c r="I1034" s="86"/>
      <c r="J1034" s="86"/>
      <c r="K1034" s="9"/>
      <c r="L1034" s="86"/>
      <c r="M1034" s="9"/>
      <c r="N1034" s="55"/>
      <c r="O1034" s="90"/>
      <c r="P1034" s="86"/>
    </row>
    <row r="1035" spans="1:16" x14ac:dyDescent="0.25">
      <c r="A1035" s="85"/>
      <c r="B1035" s="85"/>
      <c r="C1035" s="85"/>
      <c r="D1035" s="86"/>
      <c r="E1035" s="86"/>
      <c r="F1035" s="9"/>
      <c r="G1035" s="86"/>
      <c r="H1035" s="89"/>
      <c r="I1035" s="86"/>
      <c r="J1035" s="86"/>
      <c r="K1035" s="9"/>
      <c r="L1035" s="86"/>
      <c r="M1035" s="9"/>
      <c r="N1035" s="55"/>
      <c r="O1035" s="90"/>
      <c r="P1035" s="86"/>
    </row>
    <row r="1036" spans="1:16" x14ac:dyDescent="0.25">
      <c r="A1036" s="85"/>
      <c r="B1036" s="85"/>
      <c r="C1036" s="85"/>
      <c r="D1036" s="86"/>
      <c r="E1036" s="86"/>
      <c r="F1036" s="9"/>
      <c r="G1036" s="86"/>
      <c r="H1036" s="89"/>
      <c r="I1036" s="86"/>
      <c r="J1036" s="86"/>
      <c r="K1036" s="9"/>
      <c r="L1036" s="86"/>
      <c r="M1036" s="9"/>
      <c r="N1036" s="55"/>
      <c r="O1036" s="90"/>
      <c r="P1036" s="86"/>
    </row>
    <row r="1037" spans="1:16" x14ac:dyDescent="0.25">
      <c r="A1037" s="85"/>
      <c r="B1037" s="85"/>
      <c r="C1037" s="85"/>
      <c r="D1037" s="86"/>
      <c r="E1037" s="86"/>
      <c r="F1037" s="9"/>
      <c r="G1037" s="86"/>
      <c r="H1037" s="89"/>
      <c r="I1037" s="86"/>
      <c r="J1037" s="86"/>
      <c r="K1037" s="9"/>
      <c r="L1037" s="86"/>
      <c r="M1037" s="9"/>
      <c r="N1037" s="55"/>
      <c r="O1037" s="90"/>
      <c r="P1037" s="86"/>
    </row>
    <row r="1038" spans="1:16" x14ac:dyDescent="0.25">
      <c r="A1038" s="85"/>
      <c r="B1038" s="85"/>
      <c r="C1038" s="85"/>
      <c r="D1038" s="86"/>
      <c r="E1038" s="86"/>
      <c r="F1038" s="9"/>
      <c r="G1038" s="86"/>
      <c r="H1038" s="89"/>
      <c r="I1038" s="86"/>
      <c r="J1038" s="86"/>
      <c r="K1038" s="9"/>
      <c r="L1038" s="86"/>
      <c r="M1038" s="9"/>
      <c r="N1038" s="55"/>
      <c r="O1038" s="90"/>
      <c r="P1038" s="86"/>
    </row>
    <row r="1039" spans="1:16" x14ac:dyDescent="0.25">
      <c r="A1039" s="85"/>
      <c r="B1039" s="85"/>
      <c r="C1039" s="85"/>
      <c r="D1039" s="86"/>
      <c r="E1039" s="86"/>
      <c r="F1039" s="9"/>
      <c r="G1039" s="86"/>
      <c r="H1039" s="89"/>
      <c r="I1039" s="86"/>
      <c r="J1039" s="86"/>
      <c r="K1039" s="9"/>
      <c r="L1039" s="86"/>
      <c r="M1039" s="9"/>
      <c r="N1039" s="55"/>
      <c r="O1039" s="90"/>
      <c r="P1039" s="86"/>
    </row>
    <row r="1040" spans="1:16" x14ac:dyDescent="0.25">
      <c r="A1040" s="85"/>
      <c r="B1040" s="85"/>
      <c r="C1040" s="85"/>
      <c r="D1040" s="86"/>
      <c r="E1040" s="86"/>
      <c r="F1040" s="9"/>
      <c r="G1040" s="86"/>
      <c r="H1040" s="89"/>
      <c r="I1040" s="86"/>
      <c r="J1040" s="86"/>
      <c r="K1040" s="9"/>
      <c r="L1040" s="86"/>
      <c r="M1040" s="9"/>
      <c r="N1040" s="55"/>
      <c r="O1040" s="90"/>
      <c r="P1040" s="86"/>
    </row>
    <row r="1041" spans="1:16" x14ac:dyDescent="0.25">
      <c r="A1041" s="85"/>
      <c r="B1041" s="85"/>
      <c r="C1041" s="85"/>
      <c r="D1041" s="86"/>
      <c r="E1041" s="86"/>
      <c r="F1041" s="9"/>
      <c r="G1041" s="86"/>
      <c r="H1041" s="89"/>
      <c r="I1041" s="86"/>
      <c r="J1041" s="86"/>
      <c r="K1041" s="9"/>
      <c r="L1041" s="86"/>
      <c r="M1041" s="9"/>
      <c r="N1041" s="55"/>
      <c r="O1041" s="90"/>
      <c r="P1041" s="86"/>
    </row>
    <row r="1042" spans="1:16" x14ac:dyDescent="0.25">
      <c r="A1042" s="85"/>
      <c r="B1042" s="85"/>
      <c r="C1042" s="85"/>
      <c r="D1042" s="86"/>
      <c r="E1042" s="86"/>
      <c r="F1042" s="9"/>
      <c r="G1042" s="86"/>
      <c r="H1042" s="89"/>
      <c r="I1042" s="86"/>
      <c r="J1042" s="86"/>
      <c r="K1042" s="9"/>
      <c r="L1042" s="86"/>
      <c r="M1042" s="9"/>
      <c r="N1042" s="55"/>
      <c r="O1042" s="90"/>
      <c r="P1042" s="86"/>
    </row>
    <row r="1043" spans="1:16" x14ac:dyDescent="0.25">
      <c r="A1043" s="85"/>
      <c r="B1043" s="85"/>
      <c r="C1043" s="85"/>
      <c r="D1043" s="86"/>
      <c r="E1043" s="86"/>
      <c r="F1043" s="9"/>
      <c r="G1043" s="86"/>
      <c r="H1043" s="91"/>
      <c r="I1043" s="86"/>
      <c r="J1043" s="86"/>
      <c r="K1043" s="9"/>
      <c r="L1043" s="86"/>
      <c r="M1043" s="92"/>
      <c r="N1043" s="93"/>
      <c r="O1043" s="90"/>
      <c r="P1043" s="86"/>
    </row>
    <row r="1044" spans="1:16" x14ac:dyDescent="0.25">
      <c r="A1044" s="94"/>
      <c r="B1044" s="85"/>
      <c r="C1044" s="85"/>
      <c r="D1044" s="86"/>
      <c r="E1044" s="86"/>
      <c r="F1044" s="9"/>
      <c r="G1044" s="86"/>
      <c r="H1044" s="91"/>
      <c r="I1044" s="86"/>
      <c r="J1044" s="86"/>
      <c r="K1044" s="9"/>
      <c r="L1044" s="86"/>
      <c r="M1044" s="92"/>
      <c r="N1044" s="93"/>
      <c r="O1044" s="90"/>
      <c r="P1044" s="86"/>
    </row>
    <row r="1045" spans="1:16" x14ac:dyDescent="0.25">
      <c r="A1045" s="94"/>
      <c r="B1045" s="85"/>
      <c r="C1045" s="85"/>
      <c r="D1045" s="86"/>
      <c r="E1045" s="86"/>
      <c r="F1045" s="9"/>
      <c r="G1045" s="86"/>
      <c r="H1045" s="91"/>
      <c r="I1045" s="86"/>
      <c r="J1045" s="86"/>
      <c r="K1045" s="9"/>
      <c r="L1045" s="86"/>
      <c r="M1045" s="92"/>
      <c r="N1045" s="93"/>
      <c r="O1045" s="90"/>
      <c r="P1045" s="86"/>
    </row>
    <row r="1046" spans="1:16" x14ac:dyDescent="0.25">
      <c r="A1046" s="94"/>
      <c r="B1046" s="85"/>
      <c r="C1046" s="85"/>
      <c r="D1046" s="86"/>
      <c r="E1046" s="86"/>
      <c r="F1046" s="9"/>
      <c r="G1046" s="86"/>
      <c r="H1046" s="91"/>
      <c r="I1046" s="86"/>
      <c r="J1046" s="86"/>
      <c r="K1046" s="9"/>
      <c r="L1046" s="86"/>
      <c r="M1046" s="92"/>
      <c r="N1046" s="93"/>
      <c r="O1046" s="90"/>
      <c r="P1046" s="86"/>
    </row>
    <row r="1047" spans="1:16" x14ac:dyDescent="0.25">
      <c r="A1047" s="94"/>
      <c r="B1047" s="85"/>
      <c r="C1047" s="85"/>
      <c r="D1047" s="86"/>
      <c r="E1047" s="86"/>
      <c r="F1047" s="9"/>
      <c r="G1047" s="86"/>
      <c r="H1047" s="91"/>
      <c r="I1047" s="86"/>
      <c r="J1047" s="86"/>
      <c r="K1047" s="9"/>
      <c r="L1047" s="86"/>
      <c r="M1047" s="92"/>
      <c r="N1047" s="93"/>
      <c r="O1047" s="90"/>
      <c r="P1047" s="86"/>
    </row>
    <row r="1048" spans="1:16" x14ac:dyDescent="0.25">
      <c r="A1048" s="94"/>
      <c r="B1048" s="85"/>
      <c r="C1048" s="85"/>
      <c r="D1048" s="86"/>
      <c r="E1048" s="86"/>
      <c r="F1048" s="9"/>
      <c r="G1048" s="86"/>
      <c r="H1048" s="91"/>
      <c r="I1048" s="86"/>
      <c r="J1048" s="86"/>
      <c r="K1048" s="9"/>
      <c r="L1048" s="86"/>
      <c r="M1048" s="92"/>
      <c r="N1048" s="93"/>
      <c r="O1048" s="90"/>
      <c r="P1048" s="86"/>
    </row>
    <row r="1049" spans="1:16" x14ac:dyDescent="0.25">
      <c r="A1049" s="94"/>
      <c r="B1049" s="85"/>
      <c r="C1049" s="85"/>
      <c r="D1049" s="86"/>
      <c r="E1049" s="86"/>
      <c r="F1049" s="9"/>
      <c r="G1049" s="86"/>
      <c r="H1049" s="91"/>
      <c r="I1049" s="86"/>
      <c r="J1049" s="86"/>
      <c r="K1049" s="9"/>
      <c r="L1049" s="86"/>
      <c r="M1049" s="92"/>
      <c r="N1049" s="93"/>
      <c r="O1049" s="90"/>
      <c r="P1049" s="86"/>
    </row>
    <row r="1050" spans="1:16" x14ac:dyDescent="0.25">
      <c r="A1050" s="94"/>
      <c r="B1050" s="85"/>
      <c r="C1050" s="85"/>
      <c r="D1050" s="86"/>
      <c r="E1050" s="86"/>
      <c r="F1050" s="9"/>
      <c r="G1050" s="86"/>
      <c r="H1050" s="91"/>
      <c r="I1050" s="86"/>
      <c r="J1050" s="86"/>
      <c r="K1050" s="9"/>
      <c r="L1050" s="86"/>
      <c r="M1050" s="92"/>
      <c r="N1050" s="93"/>
      <c r="O1050" s="90"/>
      <c r="P1050" s="86"/>
    </row>
    <row r="1051" spans="1:16" x14ac:dyDescent="0.25">
      <c r="A1051" s="94"/>
      <c r="B1051" s="85"/>
      <c r="C1051" s="85"/>
      <c r="D1051" s="86"/>
      <c r="E1051" s="86"/>
      <c r="F1051" s="9"/>
      <c r="G1051" s="86"/>
      <c r="H1051" s="91"/>
      <c r="I1051" s="86"/>
      <c r="J1051" s="86"/>
      <c r="K1051" s="9"/>
      <c r="L1051" s="86"/>
      <c r="M1051" s="92"/>
      <c r="N1051" s="93"/>
      <c r="O1051" s="90"/>
      <c r="P1051" s="86"/>
    </row>
    <row r="1052" spans="1:16" x14ac:dyDescent="0.25">
      <c r="A1052" s="94"/>
      <c r="B1052" s="85"/>
      <c r="C1052" s="85"/>
      <c r="D1052" s="86"/>
      <c r="E1052" s="86"/>
      <c r="F1052" s="9"/>
      <c r="G1052" s="86"/>
      <c r="H1052" s="91"/>
      <c r="I1052" s="86"/>
      <c r="J1052" s="86"/>
      <c r="K1052" s="9"/>
      <c r="L1052" s="86"/>
      <c r="M1052" s="92"/>
      <c r="N1052" s="93"/>
      <c r="O1052" s="90"/>
      <c r="P1052" s="86"/>
    </row>
    <row r="1053" spans="1:16" x14ac:dyDescent="0.25">
      <c r="A1053" s="85"/>
      <c r="B1053" s="85"/>
      <c r="C1053" s="85"/>
      <c r="D1053" s="86"/>
      <c r="E1053" s="86"/>
      <c r="F1053" s="9"/>
      <c r="G1053" s="86"/>
      <c r="H1053" s="87"/>
      <c r="I1053" s="86"/>
      <c r="J1053" s="86"/>
      <c r="K1053" s="9"/>
      <c r="L1053" s="86"/>
      <c r="M1053" s="9"/>
      <c r="N1053" s="7"/>
      <c r="O1053" s="7"/>
      <c r="P1053" s="7"/>
    </row>
    <row r="1054" spans="1:16" x14ac:dyDescent="0.25">
      <c r="A1054" s="85"/>
      <c r="B1054" s="85"/>
      <c r="C1054" s="85"/>
      <c r="D1054" s="86"/>
      <c r="E1054" s="86"/>
      <c r="F1054" s="9"/>
      <c r="G1054" s="86"/>
      <c r="H1054" s="88"/>
      <c r="I1054" s="86"/>
      <c r="J1054" s="86"/>
      <c r="K1054" s="9"/>
      <c r="L1054" s="86"/>
      <c r="M1054" s="9"/>
      <c r="N1054" s="7"/>
      <c r="O1054" s="7"/>
      <c r="P1054" s="7"/>
    </row>
    <row r="1055" spans="1:16" x14ac:dyDescent="0.25">
      <c r="A1055" s="85"/>
      <c r="B1055" s="85"/>
      <c r="C1055" s="85"/>
      <c r="D1055" s="86"/>
      <c r="E1055" s="86"/>
      <c r="F1055" s="9"/>
      <c r="G1055" s="86"/>
      <c r="H1055" s="87"/>
      <c r="I1055" s="86"/>
      <c r="J1055" s="86"/>
      <c r="K1055" s="9"/>
      <c r="L1055" s="86"/>
      <c r="M1055" s="9"/>
      <c r="N1055" s="7"/>
      <c r="O1055" s="7"/>
      <c r="P1055" s="7"/>
    </row>
    <row r="1056" spans="1:16" x14ac:dyDescent="0.25">
      <c r="A1056" s="85"/>
      <c r="B1056" s="85"/>
      <c r="C1056" s="85"/>
      <c r="D1056" s="86"/>
      <c r="E1056" s="86"/>
      <c r="F1056" s="9"/>
      <c r="G1056" s="86"/>
      <c r="H1056" s="87"/>
      <c r="I1056" s="86"/>
      <c r="J1056" s="86"/>
      <c r="K1056" s="9"/>
      <c r="L1056" s="86"/>
      <c r="M1056" s="9"/>
      <c r="N1056" s="7"/>
      <c r="O1056" s="7"/>
      <c r="P1056" s="7"/>
    </row>
    <row r="1057" spans="1:16" x14ac:dyDescent="0.25">
      <c r="A1057" s="85"/>
      <c r="B1057" s="85"/>
      <c r="C1057" s="85"/>
      <c r="D1057" s="86"/>
      <c r="E1057" s="86"/>
      <c r="F1057" s="9"/>
      <c r="G1057" s="86"/>
      <c r="H1057" s="87"/>
      <c r="I1057" s="86"/>
      <c r="J1057" s="86"/>
      <c r="K1057" s="9"/>
      <c r="L1057" s="86"/>
      <c r="M1057" s="9"/>
      <c r="N1057" s="7"/>
      <c r="O1057" s="7"/>
      <c r="P1057" s="7"/>
    </row>
    <row r="1058" spans="1:16" x14ac:dyDescent="0.25">
      <c r="A1058" s="85"/>
      <c r="B1058" s="85"/>
      <c r="C1058" s="85"/>
      <c r="D1058" s="86"/>
      <c r="E1058" s="86"/>
      <c r="F1058" s="9"/>
      <c r="G1058" s="86"/>
      <c r="H1058" s="87"/>
      <c r="I1058" s="86"/>
      <c r="J1058" s="86"/>
      <c r="K1058" s="9"/>
      <c r="L1058" s="86"/>
      <c r="M1058" s="9"/>
      <c r="N1058" s="7"/>
      <c r="O1058" s="7"/>
      <c r="P1058" s="7"/>
    </row>
    <row r="1059" spans="1:16" x14ac:dyDescent="0.25">
      <c r="A1059" s="94"/>
      <c r="B1059" s="85"/>
      <c r="C1059" s="85"/>
      <c r="D1059" s="86"/>
      <c r="E1059" s="86"/>
      <c r="F1059" s="9"/>
      <c r="G1059" s="86"/>
      <c r="H1059" s="84"/>
      <c r="I1059" s="86"/>
      <c r="J1059" s="86"/>
      <c r="K1059" s="9"/>
      <c r="L1059" s="86"/>
      <c r="M1059" s="9"/>
      <c r="N1059" s="7"/>
      <c r="O1059" s="7"/>
      <c r="P1059" s="7"/>
    </row>
    <row r="1060" spans="1:16" x14ac:dyDescent="0.25">
      <c r="A1060" s="94"/>
      <c r="B1060" s="85"/>
      <c r="C1060" s="85"/>
      <c r="D1060" s="86"/>
      <c r="E1060" s="86"/>
      <c r="F1060" s="9"/>
      <c r="G1060" s="86"/>
      <c r="H1060" s="84"/>
      <c r="I1060" s="86"/>
      <c r="J1060" s="86"/>
      <c r="K1060" s="9"/>
      <c r="L1060" s="86"/>
      <c r="M1060" s="9"/>
      <c r="N1060" s="7"/>
      <c r="O1060" s="7"/>
      <c r="P1060" s="7"/>
    </row>
    <row r="1061" spans="1:16" x14ac:dyDescent="0.25">
      <c r="A1061" s="94"/>
      <c r="B1061" s="85"/>
      <c r="C1061" s="85"/>
      <c r="D1061" s="86"/>
      <c r="E1061" s="86"/>
      <c r="F1061" s="9"/>
      <c r="G1061" s="86"/>
      <c r="H1061" s="84"/>
      <c r="I1061" s="86"/>
      <c r="J1061" s="86"/>
      <c r="K1061" s="9"/>
      <c r="L1061" s="86"/>
      <c r="M1061" s="9"/>
      <c r="N1061" s="7"/>
      <c r="O1061" s="7"/>
      <c r="P1061" s="7"/>
    </row>
    <row r="1062" spans="1:16" x14ac:dyDescent="0.25">
      <c r="A1062" s="94"/>
      <c r="B1062" s="85"/>
      <c r="C1062" s="85"/>
      <c r="D1062" s="86"/>
      <c r="E1062" s="86"/>
      <c r="F1062" s="9"/>
      <c r="G1062" s="86"/>
      <c r="H1062" s="84"/>
      <c r="I1062" s="86"/>
      <c r="J1062" s="86"/>
      <c r="K1062" s="9"/>
      <c r="L1062" s="86"/>
      <c r="M1062" s="9"/>
      <c r="N1062" s="7"/>
      <c r="O1062" s="7"/>
      <c r="P1062" s="7"/>
    </row>
    <row r="1063" spans="1:16" x14ac:dyDescent="0.25">
      <c r="A1063" s="94"/>
      <c r="B1063" s="85"/>
      <c r="C1063" s="85"/>
      <c r="D1063" s="86"/>
      <c r="E1063" s="86"/>
      <c r="F1063" s="9"/>
      <c r="G1063" s="86"/>
      <c r="H1063" s="84"/>
      <c r="I1063" s="86"/>
      <c r="J1063" s="86"/>
      <c r="K1063" s="9"/>
      <c r="L1063" s="86"/>
      <c r="M1063" s="9"/>
      <c r="N1063" s="7"/>
      <c r="O1063" s="7"/>
      <c r="P1063" s="7"/>
    </row>
    <row r="1064" spans="1:16" x14ac:dyDescent="0.25">
      <c r="A1064" s="94"/>
      <c r="B1064" s="85"/>
      <c r="C1064" s="85"/>
      <c r="D1064" s="86"/>
      <c r="E1064" s="86"/>
      <c r="F1064" s="9"/>
      <c r="G1064" s="86"/>
      <c r="H1064" s="84"/>
      <c r="I1064" s="86"/>
      <c r="J1064" s="86"/>
      <c r="K1064" s="9"/>
      <c r="L1064" s="86"/>
      <c r="M1064" s="9"/>
      <c r="N1064" s="7"/>
      <c r="O1064" s="7"/>
      <c r="P1064" s="7"/>
    </row>
    <row r="1065" spans="1:16" x14ac:dyDescent="0.25">
      <c r="A1065" s="94"/>
      <c r="B1065" s="85"/>
      <c r="C1065" s="85"/>
      <c r="D1065" s="86"/>
      <c r="E1065" s="86"/>
      <c r="F1065" s="9"/>
      <c r="G1065" s="86"/>
      <c r="H1065" s="84"/>
      <c r="I1065" s="86"/>
      <c r="J1065" s="86"/>
      <c r="K1065" s="9"/>
      <c r="L1065" s="86"/>
      <c r="M1065" s="9"/>
      <c r="N1065" s="7"/>
      <c r="O1065" s="7"/>
      <c r="P1065" s="7"/>
    </row>
    <row r="1066" spans="1:16" x14ac:dyDescent="0.25">
      <c r="A1066" s="94"/>
      <c r="B1066" s="85"/>
      <c r="C1066" s="85"/>
      <c r="D1066" s="86"/>
      <c r="E1066" s="86"/>
      <c r="F1066" s="9"/>
      <c r="G1066" s="86"/>
      <c r="H1066" s="84"/>
      <c r="I1066" s="86"/>
      <c r="J1066" s="86"/>
      <c r="K1066" s="9"/>
      <c r="L1066" s="86"/>
      <c r="M1066" s="9"/>
      <c r="N1066" s="7"/>
      <c r="O1066" s="7"/>
      <c r="P1066" s="7"/>
    </row>
    <row r="1067" spans="1:16" x14ac:dyDescent="0.25">
      <c r="A1067" s="85"/>
      <c r="B1067" s="85"/>
      <c r="C1067" s="85"/>
      <c r="D1067" s="86"/>
      <c r="E1067" s="86"/>
      <c r="F1067" s="9"/>
      <c r="G1067" s="86"/>
      <c r="H1067" s="84"/>
      <c r="I1067" s="86"/>
      <c r="J1067" s="86"/>
      <c r="K1067" s="9"/>
      <c r="L1067" s="86"/>
      <c r="M1067" s="9"/>
      <c r="N1067" s="7"/>
      <c r="O1067" s="7"/>
      <c r="P1067" s="7"/>
    </row>
    <row r="1068" spans="1:16" x14ac:dyDescent="0.25">
      <c r="A1068" s="85"/>
      <c r="B1068" s="85"/>
      <c r="C1068" s="85"/>
      <c r="D1068" s="86"/>
      <c r="E1068" s="86"/>
      <c r="F1068" s="9"/>
      <c r="G1068" s="86"/>
      <c r="H1068" s="84"/>
      <c r="I1068" s="86"/>
      <c r="J1068" s="86"/>
      <c r="K1068" s="9"/>
      <c r="L1068" s="86"/>
      <c r="M1068" s="9"/>
      <c r="N1068" s="7"/>
      <c r="O1068" s="7"/>
      <c r="P1068" s="7"/>
    </row>
    <row r="1069" spans="1:16" x14ac:dyDescent="0.25">
      <c r="A1069" s="95"/>
    </row>
    <row r="1070" spans="1:16" x14ac:dyDescent="0.25">
      <c r="A1070" s="95"/>
    </row>
    <row r="1071" spans="1:16" x14ac:dyDescent="0.25">
      <c r="A1071" s="95"/>
    </row>
    <row r="1072" spans="1:16" x14ac:dyDescent="0.25">
      <c r="A1072" s="95"/>
    </row>
    <row r="1073" spans="1:1" x14ac:dyDescent="0.25">
      <c r="A1073" s="95"/>
    </row>
    <row r="1074" spans="1:1" x14ac:dyDescent="0.25">
      <c r="A1074" s="95"/>
    </row>
    <row r="1075" spans="1:1" x14ac:dyDescent="0.25">
      <c r="A1075" s="95"/>
    </row>
    <row r="1076" spans="1:1" x14ac:dyDescent="0.25">
      <c r="A1076" s="95"/>
    </row>
    <row r="1077" spans="1:1" x14ac:dyDescent="0.25">
      <c r="A1077" s="95"/>
    </row>
    <row r="1078" spans="1:1" x14ac:dyDescent="0.25">
      <c r="A1078" s="95"/>
    </row>
    <row r="1079" spans="1:1" x14ac:dyDescent="0.25">
      <c r="A1079" s="95"/>
    </row>
    <row r="1080" spans="1:1" x14ac:dyDescent="0.25">
      <c r="A1080" s="95"/>
    </row>
    <row r="1081" spans="1:1" x14ac:dyDescent="0.25">
      <c r="A1081" s="95"/>
    </row>
    <row r="1082" spans="1:1" x14ac:dyDescent="0.25">
      <c r="A1082" s="95"/>
    </row>
    <row r="1083" spans="1:1" x14ac:dyDescent="0.25">
      <c r="A1083" s="95"/>
    </row>
    <row r="1084" spans="1:1" x14ac:dyDescent="0.25">
      <c r="A1084" s="95"/>
    </row>
    <row r="1085" spans="1:1" x14ac:dyDescent="0.25">
      <c r="A1085" s="95"/>
    </row>
    <row r="1086" spans="1:1" x14ac:dyDescent="0.25">
      <c r="A1086" s="95"/>
    </row>
    <row r="1087" spans="1:1" x14ac:dyDescent="0.25">
      <c r="A1087" s="95"/>
    </row>
    <row r="1088" spans="1:1" x14ac:dyDescent="0.25">
      <c r="A1088" s="95"/>
    </row>
    <row r="1089" spans="1:1" x14ac:dyDescent="0.25">
      <c r="A1089" s="95"/>
    </row>
    <row r="1090" spans="1:1" x14ac:dyDescent="0.25">
      <c r="A1090" s="95"/>
    </row>
    <row r="1091" spans="1:1" x14ac:dyDescent="0.25">
      <c r="A1091" s="95"/>
    </row>
    <row r="1092" spans="1:1" x14ac:dyDescent="0.25">
      <c r="A1092" s="95"/>
    </row>
    <row r="1093" spans="1:1" x14ac:dyDescent="0.25">
      <c r="A1093" s="95"/>
    </row>
    <row r="1094" spans="1:1" x14ac:dyDescent="0.25">
      <c r="A1094" s="95"/>
    </row>
    <row r="1095" spans="1:1" x14ac:dyDescent="0.25">
      <c r="A1095" s="95"/>
    </row>
    <row r="1096" spans="1:1" x14ac:dyDescent="0.25">
      <c r="A1096" s="95"/>
    </row>
    <row r="1097" spans="1:1" x14ac:dyDescent="0.25">
      <c r="A1097" s="95"/>
    </row>
    <row r="1098" spans="1:1" x14ac:dyDescent="0.25">
      <c r="A1098" s="95"/>
    </row>
    <row r="1099" spans="1:1" x14ac:dyDescent="0.25">
      <c r="A1099" s="95"/>
    </row>
    <row r="1100" spans="1:1" x14ac:dyDescent="0.25">
      <c r="A1100" s="95"/>
    </row>
    <row r="1101" spans="1:1" x14ac:dyDescent="0.25">
      <c r="A1101" s="95"/>
    </row>
    <row r="1102" spans="1:1" x14ac:dyDescent="0.25">
      <c r="A1102" s="95"/>
    </row>
    <row r="1103" spans="1:1" x14ac:dyDescent="0.25">
      <c r="A1103" s="95"/>
    </row>
    <row r="1104" spans="1:1" x14ac:dyDescent="0.25">
      <c r="A1104" s="95"/>
    </row>
    <row r="1105" spans="1:1" x14ac:dyDescent="0.25">
      <c r="A1105" s="95"/>
    </row>
    <row r="1106" spans="1:1" x14ac:dyDescent="0.25">
      <c r="A1106" s="95"/>
    </row>
    <row r="1107" spans="1:1" x14ac:dyDescent="0.25">
      <c r="A1107" s="95"/>
    </row>
    <row r="1108" spans="1:1" x14ac:dyDescent="0.25">
      <c r="A1108" s="95"/>
    </row>
    <row r="1109" spans="1:1" x14ac:dyDescent="0.25">
      <c r="A1109" s="95"/>
    </row>
    <row r="1110" spans="1:1" x14ac:dyDescent="0.25">
      <c r="A1110" s="95"/>
    </row>
    <row r="1111" spans="1:1" x14ac:dyDescent="0.25">
      <c r="A1111" s="95"/>
    </row>
    <row r="1112" spans="1:1" x14ac:dyDescent="0.25">
      <c r="A1112" s="95"/>
    </row>
    <row r="1113" spans="1:1" x14ac:dyDescent="0.25">
      <c r="A1113" s="95"/>
    </row>
    <row r="1114" spans="1:1" x14ac:dyDescent="0.25">
      <c r="A1114" s="95"/>
    </row>
    <row r="1115" spans="1:1" x14ac:dyDescent="0.25">
      <c r="A1115" s="95"/>
    </row>
    <row r="1116" spans="1:1" x14ac:dyDescent="0.25">
      <c r="A1116" s="95"/>
    </row>
    <row r="1117" spans="1:1" x14ac:dyDescent="0.25">
      <c r="A1117" s="95"/>
    </row>
    <row r="1118" spans="1:1" x14ac:dyDescent="0.25">
      <c r="A1118" s="95"/>
    </row>
    <row r="1119" spans="1:1" x14ac:dyDescent="0.25">
      <c r="A1119" s="95"/>
    </row>
    <row r="1120" spans="1:1" x14ac:dyDescent="0.25">
      <c r="A1120" s="95"/>
    </row>
    <row r="1121" spans="1:1" x14ac:dyDescent="0.25">
      <c r="A1121" s="95"/>
    </row>
    <row r="1122" spans="1:1" x14ac:dyDescent="0.25">
      <c r="A1122" s="95"/>
    </row>
    <row r="1123" spans="1:1" x14ac:dyDescent="0.25">
      <c r="A1123" s="95"/>
    </row>
    <row r="1124" spans="1:1" x14ac:dyDescent="0.25">
      <c r="A1124" s="95"/>
    </row>
    <row r="1125" spans="1:1" x14ac:dyDescent="0.25">
      <c r="A1125" s="95"/>
    </row>
    <row r="1126" spans="1:1" x14ac:dyDescent="0.25">
      <c r="A1126" s="95"/>
    </row>
    <row r="1127" spans="1:1" x14ac:dyDescent="0.25">
      <c r="A1127" s="95"/>
    </row>
    <row r="1128" spans="1:1" x14ac:dyDescent="0.25">
      <c r="A1128" s="95"/>
    </row>
    <row r="1129" spans="1:1" x14ac:dyDescent="0.25">
      <c r="A1129" s="95"/>
    </row>
    <row r="1130" spans="1:1" x14ac:dyDescent="0.25">
      <c r="A1130" s="95"/>
    </row>
    <row r="1131" spans="1:1" x14ac:dyDescent="0.25">
      <c r="A1131" s="95"/>
    </row>
    <row r="1132" spans="1:1" x14ac:dyDescent="0.25">
      <c r="A1132" s="95"/>
    </row>
    <row r="1133" spans="1:1" x14ac:dyDescent="0.25">
      <c r="A1133" s="95"/>
    </row>
    <row r="1134" spans="1:1" x14ac:dyDescent="0.25">
      <c r="A1134" s="95"/>
    </row>
    <row r="1135" spans="1:1" x14ac:dyDescent="0.25">
      <c r="A1135" s="95"/>
    </row>
    <row r="1136" spans="1:1" x14ac:dyDescent="0.25">
      <c r="A1136" s="95"/>
    </row>
    <row r="1137" spans="1:1" x14ac:dyDescent="0.25">
      <c r="A1137" s="95"/>
    </row>
    <row r="1138" spans="1:1" x14ac:dyDescent="0.25">
      <c r="A1138" s="95"/>
    </row>
    <row r="1139" spans="1:1" x14ac:dyDescent="0.25">
      <c r="A1139" s="95"/>
    </row>
    <row r="1140" spans="1:1" x14ac:dyDescent="0.25">
      <c r="A1140" s="95"/>
    </row>
    <row r="1141" spans="1:1" x14ac:dyDescent="0.25">
      <c r="A1141" s="95"/>
    </row>
    <row r="1142" spans="1:1" x14ac:dyDescent="0.25">
      <c r="A1142" s="95"/>
    </row>
    <row r="1143" spans="1:1" x14ac:dyDescent="0.25">
      <c r="A1143" s="95"/>
    </row>
    <row r="1144" spans="1:1" x14ac:dyDescent="0.25">
      <c r="A1144" s="95"/>
    </row>
    <row r="1145" spans="1:1" x14ac:dyDescent="0.25">
      <c r="A1145" s="95"/>
    </row>
    <row r="1146" spans="1:1" x14ac:dyDescent="0.25">
      <c r="A1146" s="95"/>
    </row>
    <row r="1147" spans="1:1" x14ac:dyDescent="0.25">
      <c r="A1147" s="95"/>
    </row>
    <row r="1148" spans="1:1" x14ac:dyDescent="0.25">
      <c r="A1148" s="95"/>
    </row>
    <row r="1149" spans="1:1" x14ac:dyDescent="0.25">
      <c r="A1149" s="95"/>
    </row>
    <row r="1150" spans="1:1" x14ac:dyDescent="0.25">
      <c r="A1150" s="95"/>
    </row>
    <row r="1151" spans="1:1" x14ac:dyDescent="0.25">
      <c r="A1151" s="95"/>
    </row>
    <row r="1152" spans="1:1" x14ac:dyDescent="0.25">
      <c r="A1152" s="95"/>
    </row>
    <row r="1153" spans="1:1" x14ac:dyDescent="0.25">
      <c r="A1153" s="95"/>
    </row>
    <row r="1154" spans="1:1" x14ac:dyDescent="0.25">
      <c r="A1154" s="95"/>
    </row>
    <row r="1155" spans="1:1" x14ac:dyDescent="0.25">
      <c r="A1155" s="95"/>
    </row>
    <row r="1156" spans="1:1" x14ac:dyDescent="0.25">
      <c r="A1156" s="95"/>
    </row>
    <row r="1157" spans="1:1" x14ac:dyDescent="0.25">
      <c r="A1157" s="95"/>
    </row>
    <row r="1158" spans="1:1" x14ac:dyDescent="0.25">
      <c r="A1158" s="95"/>
    </row>
    <row r="1159" spans="1:1" x14ac:dyDescent="0.25">
      <c r="A1159" s="95"/>
    </row>
    <row r="1160" spans="1:1" x14ac:dyDescent="0.25">
      <c r="A1160" s="95"/>
    </row>
    <row r="1161" spans="1:1" x14ac:dyDescent="0.25">
      <c r="A1161" s="95"/>
    </row>
    <row r="1162" spans="1:1" x14ac:dyDescent="0.25">
      <c r="A1162" s="95"/>
    </row>
    <row r="1163" spans="1:1" x14ac:dyDescent="0.25">
      <c r="A1163" s="95"/>
    </row>
    <row r="1164" spans="1:1" x14ac:dyDescent="0.25">
      <c r="A1164" s="95"/>
    </row>
    <row r="1165" spans="1:1" x14ac:dyDescent="0.25">
      <c r="A1165" s="95"/>
    </row>
    <row r="1166" spans="1:1" x14ac:dyDescent="0.25">
      <c r="A1166" s="95"/>
    </row>
    <row r="1167" spans="1:1" x14ac:dyDescent="0.25">
      <c r="A1167" s="95"/>
    </row>
    <row r="1168" spans="1:1" x14ac:dyDescent="0.25">
      <c r="A1168" s="95"/>
    </row>
    <row r="1169" spans="1:1" x14ac:dyDescent="0.25">
      <c r="A1169" s="95"/>
    </row>
    <row r="1170" spans="1:1" x14ac:dyDescent="0.25">
      <c r="A1170" s="95"/>
    </row>
    <row r="1171" spans="1:1" x14ac:dyDescent="0.25">
      <c r="A1171" s="95"/>
    </row>
    <row r="1172" spans="1:1" x14ac:dyDescent="0.25">
      <c r="A1172" s="95"/>
    </row>
    <row r="1173" spans="1:1" x14ac:dyDescent="0.25">
      <c r="A1173" s="95"/>
    </row>
    <row r="1174" spans="1:1" x14ac:dyDescent="0.25">
      <c r="A1174" s="95"/>
    </row>
    <row r="1175" spans="1:1" x14ac:dyDescent="0.25">
      <c r="A1175" s="95"/>
    </row>
    <row r="1176" spans="1:1" x14ac:dyDescent="0.25">
      <c r="A1176" s="95"/>
    </row>
    <row r="1177" spans="1:1" x14ac:dyDescent="0.25">
      <c r="A1177" s="95"/>
    </row>
    <row r="1178" spans="1:1" x14ac:dyDescent="0.25">
      <c r="A1178" s="95"/>
    </row>
    <row r="1179" spans="1:1" x14ac:dyDescent="0.25">
      <c r="A1179" s="95"/>
    </row>
    <row r="1180" spans="1:1" x14ac:dyDescent="0.25">
      <c r="A1180" s="95"/>
    </row>
    <row r="1181" spans="1:1" x14ac:dyDescent="0.25">
      <c r="A1181" s="95"/>
    </row>
    <row r="1182" spans="1:1" x14ac:dyDescent="0.25">
      <c r="A1182" s="95"/>
    </row>
    <row r="1183" spans="1:1" x14ac:dyDescent="0.25">
      <c r="A1183" s="95"/>
    </row>
    <row r="1184" spans="1:1" x14ac:dyDescent="0.25">
      <c r="A1184" s="95"/>
    </row>
    <row r="1185" spans="1:1" x14ac:dyDescent="0.25">
      <c r="A1185" s="95"/>
    </row>
    <row r="1186" spans="1:1" x14ac:dyDescent="0.25">
      <c r="A1186" s="95"/>
    </row>
    <row r="1187" spans="1:1" x14ac:dyDescent="0.25">
      <c r="A1187" s="95"/>
    </row>
    <row r="1188" spans="1:1" x14ac:dyDescent="0.25">
      <c r="A1188" s="95"/>
    </row>
    <row r="1189" spans="1:1" x14ac:dyDescent="0.25">
      <c r="A1189" s="95"/>
    </row>
    <row r="1190" spans="1:1" x14ac:dyDescent="0.25">
      <c r="A1190" s="95"/>
    </row>
    <row r="1191" spans="1:1" x14ac:dyDescent="0.25">
      <c r="A1191" s="95"/>
    </row>
    <row r="1192" spans="1:1" x14ac:dyDescent="0.25">
      <c r="A1192" s="95"/>
    </row>
    <row r="1193" spans="1:1" x14ac:dyDescent="0.25">
      <c r="A1193" s="95"/>
    </row>
    <row r="1194" spans="1:1" x14ac:dyDescent="0.25">
      <c r="A1194" s="95"/>
    </row>
    <row r="1195" spans="1:1" x14ac:dyDescent="0.25">
      <c r="A1195" s="95"/>
    </row>
    <row r="1196" spans="1:1" x14ac:dyDescent="0.25">
      <c r="A1196" s="95"/>
    </row>
    <row r="1197" spans="1:1" x14ac:dyDescent="0.25">
      <c r="A1197" s="95"/>
    </row>
    <row r="1198" spans="1:1" x14ac:dyDescent="0.25">
      <c r="A1198" s="95"/>
    </row>
    <row r="1199" spans="1:1" x14ac:dyDescent="0.25">
      <c r="A1199" s="95"/>
    </row>
    <row r="1200" spans="1:1" x14ac:dyDescent="0.25">
      <c r="A1200" s="95"/>
    </row>
    <row r="1201" spans="1:1" x14ac:dyDescent="0.25">
      <c r="A1201" s="95"/>
    </row>
    <row r="1202" spans="1:1" x14ac:dyDescent="0.25">
      <c r="A1202" s="95"/>
    </row>
    <row r="1203" spans="1:1" x14ac:dyDescent="0.25">
      <c r="A1203" s="95"/>
    </row>
    <row r="1204" spans="1:1" x14ac:dyDescent="0.25">
      <c r="A1204" s="95"/>
    </row>
    <row r="1205" spans="1:1" x14ac:dyDescent="0.25">
      <c r="A1205" s="95"/>
    </row>
    <row r="1206" spans="1:1" x14ac:dyDescent="0.25">
      <c r="A1206" s="95"/>
    </row>
    <row r="1207" spans="1:1" x14ac:dyDescent="0.25">
      <c r="A1207" s="95"/>
    </row>
    <row r="1208" spans="1:1" x14ac:dyDescent="0.25">
      <c r="A1208" s="95"/>
    </row>
    <row r="1209" spans="1:1" x14ac:dyDescent="0.25">
      <c r="A1209" s="95"/>
    </row>
    <row r="1210" spans="1:1" x14ac:dyDescent="0.25">
      <c r="A1210" s="95"/>
    </row>
    <row r="1211" spans="1:1" x14ac:dyDescent="0.25">
      <c r="A1211" s="95"/>
    </row>
    <row r="1212" spans="1:1" x14ac:dyDescent="0.25">
      <c r="A1212" s="95"/>
    </row>
    <row r="1213" spans="1:1" x14ac:dyDescent="0.25">
      <c r="A1213" s="95"/>
    </row>
    <row r="1214" spans="1:1" x14ac:dyDescent="0.25">
      <c r="A1214" s="95"/>
    </row>
    <row r="1215" spans="1:1" x14ac:dyDescent="0.25">
      <c r="A1215" s="95"/>
    </row>
    <row r="1216" spans="1:1" x14ac:dyDescent="0.25">
      <c r="A1216" s="95"/>
    </row>
    <row r="1217" spans="1:1" x14ac:dyDescent="0.25">
      <c r="A1217" s="95"/>
    </row>
    <row r="1218" spans="1:1" x14ac:dyDescent="0.25">
      <c r="A1218" s="95"/>
    </row>
    <row r="1219" spans="1:1" x14ac:dyDescent="0.25">
      <c r="A1219" s="95"/>
    </row>
    <row r="1220" spans="1:1" x14ac:dyDescent="0.25">
      <c r="A1220" s="95"/>
    </row>
    <row r="1221" spans="1:1" x14ac:dyDescent="0.25">
      <c r="A1221" s="95"/>
    </row>
    <row r="1222" spans="1:1" x14ac:dyDescent="0.25">
      <c r="A1222" s="95"/>
    </row>
    <row r="1223" spans="1:1" x14ac:dyDescent="0.25">
      <c r="A1223" s="95"/>
    </row>
    <row r="1224" spans="1:1" x14ac:dyDescent="0.25">
      <c r="A1224" s="95"/>
    </row>
    <row r="1225" spans="1:1" x14ac:dyDescent="0.25">
      <c r="A1225" s="95"/>
    </row>
    <row r="1226" spans="1:1" x14ac:dyDescent="0.25">
      <c r="A1226" s="95"/>
    </row>
    <row r="1227" spans="1:1" x14ac:dyDescent="0.25">
      <c r="A1227" s="95"/>
    </row>
    <row r="1228" spans="1:1" x14ac:dyDescent="0.25">
      <c r="A1228" s="95"/>
    </row>
    <row r="1229" spans="1:1" x14ac:dyDescent="0.25">
      <c r="A1229" s="95"/>
    </row>
    <row r="1230" spans="1:1" x14ac:dyDescent="0.25">
      <c r="A1230" s="95"/>
    </row>
    <row r="1231" spans="1:1" x14ac:dyDescent="0.25">
      <c r="A1231" s="95"/>
    </row>
    <row r="1232" spans="1:1" x14ac:dyDescent="0.25">
      <c r="A1232" s="95"/>
    </row>
    <row r="1233" spans="1:1" x14ac:dyDescent="0.25">
      <c r="A1233" s="95"/>
    </row>
    <row r="1234" spans="1:1" x14ac:dyDescent="0.25">
      <c r="A1234" s="95"/>
    </row>
    <row r="1235" spans="1:1" x14ac:dyDescent="0.25">
      <c r="A1235" s="95"/>
    </row>
    <row r="1236" spans="1:1" x14ac:dyDescent="0.25">
      <c r="A1236" s="95"/>
    </row>
    <row r="1237" spans="1:1" x14ac:dyDescent="0.25">
      <c r="A1237" s="95"/>
    </row>
    <row r="1238" spans="1:1" x14ac:dyDescent="0.25">
      <c r="A1238" s="95"/>
    </row>
    <row r="1239" spans="1:1" x14ac:dyDescent="0.25">
      <c r="A1239" s="95"/>
    </row>
    <row r="1240" spans="1:1" x14ac:dyDescent="0.25">
      <c r="A1240" s="95"/>
    </row>
    <row r="1241" spans="1:1" x14ac:dyDescent="0.25">
      <c r="A1241" s="95"/>
    </row>
    <row r="1242" spans="1:1" x14ac:dyDescent="0.25">
      <c r="A1242" s="95"/>
    </row>
    <row r="1243" spans="1:1" x14ac:dyDescent="0.25">
      <c r="A1243" s="95"/>
    </row>
    <row r="1244" spans="1:1" x14ac:dyDescent="0.25">
      <c r="A1244" s="95"/>
    </row>
    <row r="1245" spans="1:1" x14ac:dyDescent="0.25">
      <c r="A1245" s="95"/>
    </row>
    <row r="1246" spans="1:1" x14ac:dyDescent="0.25">
      <c r="A1246" s="95"/>
    </row>
    <row r="1247" spans="1:1" x14ac:dyDescent="0.25">
      <c r="A1247" s="95"/>
    </row>
    <row r="1248" spans="1:1" x14ac:dyDescent="0.25">
      <c r="A1248" s="95"/>
    </row>
    <row r="1249" spans="1:1" x14ac:dyDescent="0.25">
      <c r="A1249" s="95"/>
    </row>
    <row r="1250" spans="1:1" x14ac:dyDescent="0.25">
      <c r="A1250" s="95"/>
    </row>
    <row r="1251" spans="1:1" x14ac:dyDescent="0.25">
      <c r="A1251" s="95"/>
    </row>
    <row r="1252" spans="1:1" x14ac:dyDescent="0.25">
      <c r="A1252" s="95"/>
    </row>
    <row r="1253" spans="1:1" x14ac:dyDescent="0.25">
      <c r="A1253" s="95"/>
    </row>
    <row r="1254" spans="1:1" x14ac:dyDescent="0.25">
      <c r="A1254" s="95"/>
    </row>
    <row r="1255" spans="1:1" x14ac:dyDescent="0.25">
      <c r="A1255" s="95"/>
    </row>
    <row r="1256" spans="1:1" x14ac:dyDescent="0.25">
      <c r="A1256" s="95"/>
    </row>
    <row r="1257" spans="1:1" x14ac:dyDescent="0.25">
      <c r="A1257" s="95"/>
    </row>
    <row r="1258" spans="1:1" x14ac:dyDescent="0.25">
      <c r="A1258" s="95"/>
    </row>
    <row r="1259" spans="1:1" x14ac:dyDescent="0.25">
      <c r="A1259" s="95"/>
    </row>
    <row r="1260" spans="1:1" x14ac:dyDescent="0.25">
      <c r="A1260" s="95"/>
    </row>
    <row r="1261" spans="1:1" x14ac:dyDescent="0.25">
      <c r="A1261" s="95"/>
    </row>
    <row r="1262" spans="1:1" x14ac:dyDescent="0.25">
      <c r="A1262" s="95"/>
    </row>
    <row r="1263" spans="1:1" x14ac:dyDescent="0.25">
      <c r="A1263" s="95"/>
    </row>
    <row r="1264" spans="1:1" x14ac:dyDescent="0.25">
      <c r="A1264" s="95"/>
    </row>
    <row r="1265" spans="1:1" x14ac:dyDescent="0.25">
      <c r="A1265" s="95"/>
    </row>
    <row r="1266" spans="1:1" x14ac:dyDescent="0.25">
      <c r="A1266" s="95"/>
    </row>
    <row r="1267" spans="1:1" x14ac:dyDescent="0.25">
      <c r="A1267" s="95"/>
    </row>
    <row r="1268" spans="1:1" x14ac:dyDescent="0.25">
      <c r="A1268" s="95"/>
    </row>
    <row r="1269" spans="1:1" x14ac:dyDescent="0.25">
      <c r="A1269" s="95"/>
    </row>
    <row r="1270" spans="1:1" x14ac:dyDescent="0.25">
      <c r="A1270" s="95"/>
    </row>
    <row r="1271" spans="1:1" x14ac:dyDescent="0.25">
      <c r="A1271" s="95"/>
    </row>
    <row r="1272" spans="1:1" x14ac:dyDescent="0.25">
      <c r="A1272" s="95"/>
    </row>
    <row r="1273" spans="1:1" x14ac:dyDescent="0.25">
      <c r="A1273" s="95"/>
    </row>
    <row r="1274" spans="1:1" x14ac:dyDescent="0.25">
      <c r="A1274" s="95"/>
    </row>
    <row r="1275" spans="1:1" x14ac:dyDescent="0.25">
      <c r="A1275" s="95"/>
    </row>
    <row r="1276" spans="1:1" x14ac:dyDescent="0.25">
      <c r="A1276" s="95"/>
    </row>
    <row r="1277" spans="1:1" x14ac:dyDescent="0.25">
      <c r="A1277" s="95"/>
    </row>
    <row r="1278" spans="1:1" x14ac:dyDescent="0.25">
      <c r="A1278" s="95"/>
    </row>
    <row r="1279" spans="1:1" x14ac:dyDescent="0.25">
      <c r="A1279" s="95"/>
    </row>
    <row r="1280" spans="1:1" x14ac:dyDescent="0.25">
      <c r="A1280" s="95"/>
    </row>
    <row r="1281" spans="1:1" x14ac:dyDescent="0.25">
      <c r="A1281" s="95"/>
    </row>
    <row r="1282" spans="1:1" x14ac:dyDescent="0.25">
      <c r="A1282" s="95"/>
    </row>
    <row r="1283" spans="1:1" x14ac:dyDescent="0.25">
      <c r="A1283" s="95"/>
    </row>
    <row r="1284" spans="1:1" x14ac:dyDescent="0.25">
      <c r="A1284" s="95"/>
    </row>
    <row r="1285" spans="1:1" x14ac:dyDescent="0.25">
      <c r="A1285" s="95"/>
    </row>
    <row r="1286" spans="1:1" x14ac:dyDescent="0.25">
      <c r="A1286" s="95"/>
    </row>
    <row r="1287" spans="1:1" x14ac:dyDescent="0.25">
      <c r="A1287" s="95"/>
    </row>
    <row r="1288" spans="1:1" x14ac:dyDescent="0.25">
      <c r="A1288" s="95"/>
    </row>
    <row r="1289" spans="1:1" x14ac:dyDescent="0.25">
      <c r="A1289" s="95"/>
    </row>
    <row r="1290" spans="1:1" x14ac:dyDescent="0.25">
      <c r="A1290" s="95"/>
    </row>
    <row r="1291" spans="1:1" x14ac:dyDescent="0.25">
      <c r="A1291" s="95"/>
    </row>
    <row r="1292" spans="1:1" x14ac:dyDescent="0.25">
      <c r="A1292" s="95"/>
    </row>
    <row r="1293" spans="1:1" x14ac:dyDescent="0.25">
      <c r="A1293" s="95"/>
    </row>
    <row r="1294" spans="1:1" x14ac:dyDescent="0.25">
      <c r="A1294" s="95"/>
    </row>
    <row r="1295" spans="1:1" x14ac:dyDescent="0.25">
      <c r="A1295" s="95"/>
    </row>
    <row r="1296" spans="1:1" x14ac:dyDescent="0.25">
      <c r="A1296" s="95"/>
    </row>
    <row r="1297" spans="1:1" x14ac:dyDescent="0.25">
      <c r="A1297" s="95"/>
    </row>
    <row r="1298" spans="1:1" x14ac:dyDescent="0.25">
      <c r="A1298" s="95"/>
    </row>
    <row r="1299" spans="1:1" x14ac:dyDescent="0.25">
      <c r="A1299" s="95"/>
    </row>
    <row r="1300" spans="1:1" x14ac:dyDescent="0.25">
      <c r="A1300" s="95"/>
    </row>
    <row r="1301" spans="1:1" x14ac:dyDescent="0.25">
      <c r="A1301" s="95"/>
    </row>
    <row r="1302" spans="1:1" x14ac:dyDescent="0.25">
      <c r="A1302" s="95"/>
    </row>
    <row r="1303" spans="1:1" x14ac:dyDescent="0.25">
      <c r="A1303" s="95"/>
    </row>
    <row r="1304" spans="1:1" x14ac:dyDescent="0.25">
      <c r="A1304" s="95"/>
    </row>
    <row r="1305" spans="1:1" x14ac:dyDescent="0.25">
      <c r="A1305" s="95"/>
    </row>
    <row r="1306" spans="1:1" x14ac:dyDescent="0.25">
      <c r="A1306" s="95"/>
    </row>
    <row r="1307" spans="1:1" x14ac:dyDescent="0.25">
      <c r="A1307" s="95"/>
    </row>
    <row r="1308" spans="1:1" x14ac:dyDescent="0.25">
      <c r="A1308" s="95"/>
    </row>
    <row r="1309" spans="1:1" x14ac:dyDescent="0.25">
      <c r="A1309" s="95"/>
    </row>
    <row r="1310" spans="1:1" x14ac:dyDescent="0.25">
      <c r="A1310" s="95"/>
    </row>
    <row r="1311" spans="1:1" x14ac:dyDescent="0.25">
      <c r="A1311" s="95"/>
    </row>
    <row r="1312" spans="1:1" x14ac:dyDescent="0.25">
      <c r="A1312" s="95"/>
    </row>
    <row r="1313" spans="1:1" x14ac:dyDescent="0.25">
      <c r="A1313" s="95"/>
    </row>
    <row r="1314" spans="1:1" x14ac:dyDescent="0.25">
      <c r="A1314" s="95"/>
    </row>
    <row r="1315" spans="1:1" x14ac:dyDescent="0.25">
      <c r="A1315" s="95"/>
    </row>
    <row r="1316" spans="1:1" x14ac:dyDescent="0.25">
      <c r="A1316" s="95"/>
    </row>
    <row r="1317" spans="1:1" x14ac:dyDescent="0.25">
      <c r="A1317" s="95"/>
    </row>
    <row r="1318" spans="1:1" x14ac:dyDescent="0.25">
      <c r="A1318" s="95"/>
    </row>
    <row r="1319" spans="1:1" x14ac:dyDescent="0.25">
      <c r="A1319" s="95"/>
    </row>
    <row r="1320" spans="1:1" x14ac:dyDescent="0.25">
      <c r="A1320" s="95"/>
    </row>
    <row r="1321" spans="1:1" x14ac:dyDescent="0.25">
      <c r="A1321" s="95"/>
    </row>
    <row r="1322" spans="1:1" x14ac:dyDescent="0.25">
      <c r="A1322" s="95"/>
    </row>
    <row r="1323" spans="1:1" x14ac:dyDescent="0.25">
      <c r="A1323" s="95"/>
    </row>
    <row r="1324" spans="1:1" x14ac:dyDescent="0.25">
      <c r="A1324" s="95"/>
    </row>
    <row r="1325" spans="1:1" x14ac:dyDescent="0.25">
      <c r="A1325" s="95"/>
    </row>
    <row r="1326" spans="1:1" x14ac:dyDescent="0.25">
      <c r="A1326" s="95"/>
    </row>
    <row r="1327" spans="1:1" x14ac:dyDescent="0.25">
      <c r="A1327" s="95"/>
    </row>
    <row r="1328" spans="1:1" x14ac:dyDescent="0.25">
      <c r="A1328" s="95"/>
    </row>
    <row r="1329" spans="1:1" x14ac:dyDescent="0.25">
      <c r="A1329" s="95"/>
    </row>
    <row r="1330" spans="1:1" x14ac:dyDescent="0.25">
      <c r="A1330" s="95"/>
    </row>
    <row r="1331" spans="1:1" x14ac:dyDescent="0.25">
      <c r="A1331" s="95"/>
    </row>
    <row r="1332" spans="1:1" x14ac:dyDescent="0.25">
      <c r="A1332" s="95"/>
    </row>
    <row r="1333" spans="1:1" x14ac:dyDescent="0.25">
      <c r="A1333" s="95"/>
    </row>
    <row r="1334" spans="1:1" x14ac:dyDescent="0.25">
      <c r="A1334" s="95"/>
    </row>
    <row r="1335" spans="1:1" x14ac:dyDescent="0.25">
      <c r="A1335" s="95"/>
    </row>
    <row r="1336" spans="1:1" x14ac:dyDescent="0.25">
      <c r="A1336" s="95"/>
    </row>
    <row r="1337" spans="1:1" x14ac:dyDescent="0.25">
      <c r="A1337" s="95"/>
    </row>
    <row r="1338" spans="1:1" x14ac:dyDescent="0.25">
      <c r="A1338" s="95"/>
    </row>
    <row r="1339" spans="1:1" x14ac:dyDescent="0.25">
      <c r="A1339" s="95"/>
    </row>
    <row r="1340" spans="1:1" x14ac:dyDescent="0.25">
      <c r="A1340" s="95"/>
    </row>
    <row r="1341" spans="1:1" x14ac:dyDescent="0.25">
      <c r="A1341" s="95"/>
    </row>
    <row r="1342" spans="1:1" x14ac:dyDescent="0.25">
      <c r="A1342" s="95"/>
    </row>
    <row r="1343" spans="1:1" x14ac:dyDescent="0.25">
      <c r="A1343" s="95"/>
    </row>
    <row r="1344" spans="1:1" x14ac:dyDescent="0.25">
      <c r="A1344" s="95"/>
    </row>
    <row r="1345" spans="1:1" x14ac:dyDescent="0.25">
      <c r="A1345" s="95"/>
    </row>
    <row r="1346" spans="1:1" x14ac:dyDescent="0.25">
      <c r="A1346" s="95"/>
    </row>
    <row r="1347" spans="1:1" x14ac:dyDescent="0.25">
      <c r="A1347" s="95"/>
    </row>
    <row r="1348" spans="1:1" x14ac:dyDescent="0.25">
      <c r="A1348" s="95"/>
    </row>
    <row r="1349" spans="1:1" x14ac:dyDescent="0.25">
      <c r="A1349" s="95"/>
    </row>
    <row r="1350" spans="1:1" x14ac:dyDescent="0.25">
      <c r="A1350" s="95"/>
    </row>
    <row r="1351" spans="1:1" x14ac:dyDescent="0.25">
      <c r="A1351" s="95"/>
    </row>
    <row r="1352" spans="1:1" x14ac:dyDescent="0.25">
      <c r="A1352" s="95"/>
    </row>
    <row r="1353" spans="1:1" x14ac:dyDescent="0.25">
      <c r="A1353" s="95"/>
    </row>
    <row r="1354" spans="1:1" x14ac:dyDescent="0.25">
      <c r="A1354" s="95"/>
    </row>
    <row r="1355" spans="1:1" x14ac:dyDescent="0.25">
      <c r="A1355" s="95"/>
    </row>
    <row r="1356" spans="1:1" x14ac:dyDescent="0.25">
      <c r="A1356" s="95"/>
    </row>
    <row r="1357" spans="1:1" x14ac:dyDescent="0.25">
      <c r="A1357" s="95"/>
    </row>
    <row r="1358" spans="1:1" x14ac:dyDescent="0.25">
      <c r="A1358" s="95"/>
    </row>
    <row r="1359" spans="1:1" x14ac:dyDescent="0.25">
      <c r="A1359" s="95"/>
    </row>
    <row r="1360" spans="1:1" x14ac:dyDescent="0.25">
      <c r="A1360" s="95"/>
    </row>
    <row r="1361" spans="1:1" x14ac:dyDescent="0.25">
      <c r="A1361" s="95"/>
    </row>
    <row r="1362" spans="1:1" x14ac:dyDescent="0.25">
      <c r="A1362" s="95"/>
    </row>
    <row r="1363" spans="1:1" x14ac:dyDescent="0.25">
      <c r="A1363" s="95"/>
    </row>
    <row r="1364" spans="1:1" x14ac:dyDescent="0.25">
      <c r="A1364" s="95"/>
    </row>
    <row r="1365" spans="1:1" x14ac:dyDescent="0.25">
      <c r="A1365" s="95"/>
    </row>
    <row r="1366" spans="1:1" x14ac:dyDescent="0.25">
      <c r="A1366" s="95"/>
    </row>
    <row r="1367" spans="1:1" x14ac:dyDescent="0.25">
      <c r="A1367" s="95"/>
    </row>
    <row r="1368" spans="1:1" x14ac:dyDescent="0.25">
      <c r="A1368" s="95"/>
    </row>
    <row r="1369" spans="1:1" x14ac:dyDescent="0.25">
      <c r="A1369" s="95"/>
    </row>
    <row r="1370" spans="1:1" x14ac:dyDescent="0.25">
      <c r="A1370" s="95"/>
    </row>
    <row r="1371" spans="1:1" x14ac:dyDescent="0.25">
      <c r="A1371" s="95"/>
    </row>
    <row r="1372" spans="1:1" x14ac:dyDescent="0.25">
      <c r="A1372" s="95"/>
    </row>
    <row r="1373" spans="1:1" x14ac:dyDescent="0.25">
      <c r="A1373" s="95"/>
    </row>
    <row r="1374" spans="1:1" x14ac:dyDescent="0.25">
      <c r="A1374" s="95"/>
    </row>
    <row r="1375" spans="1:1" x14ac:dyDescent="0.25">
      <c r="A1375" s="95"/>
    </row>
    <row r="1376" spans="1:1" x14ac:dyDescent="0.25">
      <c r="A1376" s="95"/>
    </row>
    <row r="1377" spans="1:1" x14ac:dyDescent="0.25">
      <c r="A1377" s="95"/>
    </row>
    <row r="1378" spans="1:1" x14ac:dyDescent="0.25">
      <c r="A1378" s="95"/>
    </row>
    <row r="1379" spans="1:1" x14ac:dyDescent="0.25">
      <c r="A1379" s="95"/>
    </row>
    <row r="1380" spans="1:1" x14ac:dyDescent="0.25">
      <c r="A1380" s="95"/>
    </row>
    <row r="1381" spans="1:1" x14ac:dyDescent="0.25">
      <c r="A1381" s="95"/>
    </row>
    <row r="1382" spans="1:1" x14ac:dyDescent="0.25">
      <c r="A1382" s="95"/>
    </row>
    <row r="1383" spans="1:1" x14ac:dyDescent="0.25">
      <c r="A1383" s="95"/>
    </row>
    <row r="1384" spans="1:1" x14ac:dyDescent="0.25">
      <c r="A1384" s="95"/>
    </row>
    <row r="1385" spans="1:1" x14ac:dyDescent="0.25">
      <c r="A1385" s="95"/>
    </row>
    <row r="1386" spans="1:1" x14ac:dyDescent="0.25">
      <c r="A1386" s="95"/>
    </row>
    <row r="1387" spans="1:1" x14ac:dyDescent="0.25">
      <c r="A1387" s="95"/>
    </row>
    <row r="1388" spans="1:1" x14ac:dyDescent="0.25">
      <c r="A1388" s="95"/>
    </row>
    <row r="1389" spans="1:1" x14ac:dyDescent="0.25">
      <c r="A1389" s="95"/>
    </row>
    <row r="1390" spans="1:1" x14ac:dyDescent="0.25">
      <c r="A1390" s="95"/>
    </row>
    <row r="1391" spans="1:1" x14ac:dyDescent="0.25">
      <c r="A1391" s="95"/>
    </row>
    <row r="1392" spans="1:1" x14ac:dyDescent="0.25">
      <c r="A1392" s="95"/>
    </row>
    <row r="1393" spans="1:1" x14ac:dyDescent="0.25">
      <c r="A1393" s="95"/>
    </row>
    <row r="1394" spans="1:1" x14ac:dyDescent="0.25">
      <c r="A1394" s="95"/>
    </row>
    <row r="1395" spans="1:1" x14ac:dyDescent="0.25">
      <c r="A1395" s="95"/>
    </row>
    <row r="1396" spans="1:1" x14ac:dyDescent="0.25">
      <c r="A1396" s="95"/>
    </row>
    <row r="1397" spans="1:1" x14ac:dyDescent="0.25">
      <c r="A1397" s="95"/>
    </row>
    <row r="1398" spans="1:1" x14ac:dyDescent="0.25">
      <c r="A1398" s="95"/>
    </row>
    <row r="1399" spans="1:1" x14ac:dyDescent="0.25">
      <c r="A1399" s="95"/>
    </row>
    <row r="1400" spans="1:1" x14ac:dyDescent="0.25">
      <c r="A1400" s="95"/>
    </row>
    <row r="1401" spans="1:1" x14ac:dyDescent="0.25">
      <c r="A1401" s="95"/>
    </row>
    <row r="1402" spans="1:1" x14ac:dyDescent="0.25">
      <c r="A1402" s="95"/>
    </row>
    <row r="1403" spans="1:1" x14ac:dyDescent="0.25">
      <c r="A1403" s="95"/>
    </row>
    <row r="1404" spans="1:1" x14ac:dyDescent="0.25">
      <c r="A1404" s="95"/>
    </row>
    <row r="1405" spans="1:1" x14ac:dyDescent="0.25">
      <c r="A1405" s="95"/>
    </row>
    <row r="1406" spans="1:1" x14ac:dyDescent="0.25">
      <c r="A1406" s="95"/>
    </row>
    <row r="1407" spans="1:1" x14ac:dyDescent="0.25">
      <c r="A1407" s="95"/>
    </row>
    <row r="1408" spans="1:1" x14ac:dyDescent="0.25">
      <c r="A1408" s="95"/>
    </row>
    <row r="1409" spans="1:1" x14ac:dyDescent="0.25">
      <c r="A1409" s="95"/>
    </row>
    <row r="1410" spans="1:1" x14ac:dyDescent="0.25">
      <c r="A1410" s="95"/>
    </row>
    <row r="1411" spans="1:1" x14ac:dyDescent="0.25">
      <c r="A1411" s="95"/>
    </row>
    <row r="1412" spans="1:1" x14ac:dyDescent="0.25">
      <c r="A1412" s="95"/>
    </row>
    <row r="1413" spans="1:1" x14ac:dyDescent="0.25">
      <c r="A1413" s="95"/>
    </row>
    <row r="1414" spans="1:1" x14ac:dyDescent="0.25">
      <c r="A1414" s="95"/>
    </row>
    <row r="1415" spans="1:1" x14ac:dyDescent="0.25">
      <c r="A1415" s="95"/>
    </row>
    <row r="1416" spans="1:1" x14ac:dyDescent="0.25">
      <c r="A1416" s="95"/>
    </row>
    <row r="1417" spans="1:1" x14ac:dyDescent="0.25">
      <c r="A1417" s="95"/>
    </row>
    <row r="1418" spans="1:1" x14ac:dyDescent="0.25">
      <c r="A1418" s="95"/>
    </row>
    <row r="1419" spans="1:1" x14ac:dyDescent="0.25">
      <c r="A1419" s="95"/>
    </row>
    <row r="1420" spans="1:1" x14ac:dyDescent="0.25">
      <c r="A1420" s="95"/>
    </row>
    <row r="1421" spans="1:1" x14ac:dyDescent="0.25">
      <c r="A1421" s="95"/>
    </row>
    <row r="1422" spans="1:1" x14ac:dyDescent="0.25">
      <c r="A1422" s="95"/>
    </row>
    <row r="1423" spans="1:1" x14ac:dyDescent="0.25">
      <c r="A1423" s="95"/>
    </row>
    <row r="1424" spans="1:1" x14ac:dyDescent="0.25">
      <c r="A1424" s="95"/>
    </row>
    <row r="1425" spans="1:1" x14ac:dyDescent="0.25">
      <c r="A1425" s="95"/>
    </row>
    <row r="1426" spans="1:1" x14ac:dyDescent="0.25">
      <c r="A1426" s="95"/>
    </row>
    <row r="1427" spans="1:1" x14ac:dyDescent="0.25">
      <c r="A1427" s="95"/>
    </row>
    <row r="1428" spans="1:1" x14ac:dyDescent="0.25">
      <c r="A1428" s="95"/>
    </row>
    <row r="1429" spans="1:1" x14ac:dyDescent="0.25">
      <c r="A1429" s="95"/>
    </row>
    <row r="1430" spans="1:1" x14ac:dyDescent="0.25">
      <c r="A1430" s="95"/>
    </row>
    <row r="1431" spans="1:1" x14ac:dyDescent="0.25">
      <c r="A1431" s="95"/>
    </row>
    <row r="1432" spans="1:1" x14ac:dyDescent="0.25">
      <c r="A1432" s="95"/>
    </row>
    <row r="1433" spans="1:1" x14ac:dyDescent="0.25">
      <c r="A1433" s="95"/>
    </row>
    <row r="1434" spans="1:1" x14ac:dyDescent="0.25">
      <c r="A1434" s="95"/>
    </row>
    <row r="1435" spans="1:1" x14ac:dyDescent="0.25">
      <c r="A1435" s="95"/>
    </row>
    <row r="1436" spans="1:1" x14ac:dyDescent="0.25">
      <c r="A1436" s="95"/>
    </row>
    <row r="1437" spans="1:1" x14ac:dyDescent="0.25">
      <c r="A1437" s="95"/>
    </row>
    <row r="1438" spans="1:1" x14ac:dyDescent="0.25">
      <c r="A1438" s="95"/>
    </row>
    <row r="1439" spans="1:1" x14ac:dyDescent="0.25">
      <c r="A1439" s="95"/>
    </row>
    <row r="1440" spans="1:1" x14ac:dyDescent="0.25">
      <c r="A1440" s="95"/>
    </row>
    <row r="1441" spans="1:1" x14ac:dyDescent="0.25">
      <c r="A1441" s="95"/>
    </row>
    <row r="1442" spans="1:1" x14ac:dyDescent="0.25">
      <c r="A1442" s="95"/>
    </row>
    <row r="1443" spans="1:1" x14ac:dyDescent="0.25">
      <c r="A1443" s="95"/>
    </row>
    <row r="1444" spans="1:1" x14ac:dyDescent="0.25">
      <c r="A1444" s="95"/>
    </row>
    <row r="1445" spans="1:1" x14ac:dyDescent="0.25">
      <c r="A1445" s="95"/>
    </row>
    <row r="1446" spans="1:1" x14ac:dyDescent="0.25">
      <c r="A1446" s="95"/>
    </row>
    <row r="1447" spans="1:1" x14ac:dyDescent="0.25">
      <c r="A1447" s="95"/>
    </row>
    <row r="1448" spans="1:1" x14ac:dyDescent="0.25">
      <c r="A1448" s="95"/>
    </row>
    <row r="1449" spans="1:1" x14ac:dyDescent="0.25">
      <c r="A1449" s="95"/>
    </row>
    <row r="1450" spans="1:1" x14ac:dyDescent="0.25">
      <c r="A1450" s="95"/>
    </row>
    <row r="1451" spans="1:1" x14ac:dyDescent="0.25">
      <c r="A1451" s="95"/>
    </row>
    <row r="1452" spans="1:1" x14ac:dyDescent="0.25">
      <c r="A1452" s="95"/>
    </row>
    <row r="1453" spans="1:1" x14ac:dyDescent="0.25">
      <c r="A1453" s="95"/>
    </row>
    <row r="1454" spans="1:1" x14ac:dyDescent="0.25">
      <c r="A1454" s="95"/>
    </row>
    <row r="1455" spans="1:1" x14ac:dyDescent="0.25">
      <c r="A1455" s="95"/>
    </row>
    <row r="1505" spans="1:16" x14ac:dyDescent="0.25">
      <c r="A1505" s="94"/>
      <c r="B1505" s="85"/>
      <c r="C1505" s="85"/>
      <c r="D1505" s="86"/>
      <c r="E1505" s="86"/>
      <c r="F1505" s="9"/>
      <c r="G1505" s="86"/>
      <c r="H1505" s="91"/>
      <c r="I1505" s="86"/>
      <c r="J1505" s="86"/>
      <c r="K1505" s="9"/>
      <c r="L1505" s="86"/>
      <c r="M1505" s="92"/>
      <c r="N1505" s="93"/>
      <c r="O1505" s="90"/>
      <c r="P1505" s="86"/>
    </row>
  </sheetData>
  <mergeCells count="25">
    <mergeCell ref="M3:N3"/>
    <mergeCell ref="A4:B5"/>
    <mergeCell ref="C4:E5"/>
    <mergeCell ref="F4:G5"/>
    <mergeCell ref="H4:J5"/>
    <mergeCell ref="K4:L5"/>
    <mergeCell ref="M4:N5"/>
    <mergeCell ref="A1:C1"/>
    <mergeCell ref="D1:I1"/>
    <mergeCell ref="A2:C2"/>
    <mergeCell ref="D2:I2"/>
    <mergeCell ref="A3:B3"/>
    <mergeCell ref="C3:E3"/>
    <mergeCell ref="F3:G3"/>
    <mergeCell ref="H3:K3"/>
    <mergeCell ref="A6:A7"/>
    <mergeCell ref="B6:B7"/>
    <mergeCell ref="C6:C7"/>
    <mergeCell ref="D6:F6"/>
    <mergeCell ref="G6:G7"/>
    <mergeCell ref="H6:L6"/>
    <mergeCell ref="M6:M7"/>
    <mergeCell ref="N6:N7"/>
    <mergeCell ref="O6:O7"/>
    <mergeCell ref="P6:P7"/>
  </mergeCells>
  <conditionalFormatting sqref="B6:B7">
    <cfRule type="containsText" dxfId="803" priority="21055" operator="containsText" text="Quality">
      <formula>NOT(ISERROR(SEARCH("Quality",B6)))</formula>
    </cfRule>
  </conditionalFormatting>
  <conditionalFormatting sqref="K1006">
    <cfRule type="cellIs" dxfId="802" priority="19562" operator="between">
      <formula>16</formula>
      <formula>25</formula>
    </cfRule>
    <cfRule type="cellIs" dxfId="801" priority="19563" operator="between">
      <formula>10</formula>
      <formula>15</formula>
    </cfRule>
    <cfRule type="cellIs" dxfId="800" priority="19564" operator="between">
      <formula>5</formula>
      <formula>9</formula>
    </cfRule>
    <cfRule type="cellIs" dxfId="799" priority="19565" operator="between">
      <formula>0</formula>
      <formula>4</formula>
    </cfRule>
  </conditionalFormatting>
  <conditionalFormatting sqref="B1006">
    <cfRule type="containsText" dxfId="798" priority="19560" operator="containsText" text="WHS">
      <formula>NOT(ISERROR(SEARCH("WHS",B1006)))</formula>
    </cfRule>
    <cfRule type="containsText" dxfId="797" priority="19561" operator="containsText" text="Environment">
      <formula>NOT(ISERROR(SEARCH("Environment",B1006)))</formula>
    </cfRule>
  </conditionalFormatting>
  <conditionalFormatting sqref="B1006">
    <cfRule type="containsText" dxfId="796" priority="19559" operator="containsText" text="Quality">
      <formula>NOT(ISERROR(SEARCH("Quality",B1006)))</formula>
    </cfRule>
  </conditionalFormatting>
  <conditionalFormatting sqref="F1006">
    <cfRule type="cellIs" dxfId="795" priority="19566" operator="between">
      <formula>16</formula>
      <formula>25</formula>
    </cfRule>
    <cfRule type="cellIs" dxfId="794" priority="19567" operator="between">
      <formula>10</formula>
      <formula>15</formula>
    </cfRule>
    <cfRule type="cellIs" dxfId="793" priority="19568" operator="between">
      <formula>5</formula>
      <formula>9</formula>
    </cfRule>
    <cfRule type="cellIs" dxfId="792" priority="19569" operator="between">
      <formula>0</formula>
      <formula>4</formula>
    </cfRule>
  </conditionalFormatting>
  <conditionalFormatting sqref="K1007">
    <cfRule type="cellIs" dxfId="791" priority="19551" operator="between">
      <formula>16</formula>
      <formula>25</formula>
    </cfRule>
    <cfRule type="cellIs" dxfId="790" priority="19552" operator="between">
      <formula>10</formula>
      <formula>15</formula>
    </cfRule>
    <cfRule type="cellIs" dxfId="789" priority="19553" operator="between">
      <formula>5</formula>
      <formula>9</formula>
    </cfRule>
    <cfRule type="cellIs" dxfId="788" priority="19554" operator="between">
      <formula>0</formula>
      <formula>4</formula>
    </cfRule>
  </conditionalFormatting>
  <conditionalFormatting sqref="B1007">
    <cfRule type="containsText" dxfId="787" priority="19549" operator="containsText" text="WHS">
      <formula>NOT(ISERROR(SEARCH("WHS",B1007)))</formula>
    </cfRule>
    <cfRule type="containsText" dxfId="786" priority="19550" operator="containsText" text="Environment">
      <formula>NOT(ISERROR(SEARCH("Environment",B1007)))</formula>
    </cfRule>
  </conditionalFormatting>
  <conditionalFormatting sqref="B1007">
    <cfRule type="containsText" dxfId="785" priority="19548" operator="containsText" text="Quality">
      <formula>NOT(ISERROR(SEARCH("Quality",B1007)))</formula>
    </cfRule>
  </conditionalFormatting>
  <conditionalFormatting sqref="F1007">
    <cfRule type="cellIs" dxfId="784" priority="19555" operator="between">
      <formula>16</formula>
      <formula>25</formula>
    </cfRule>
    <cfRule type="cellIs" dxfId="783" priority="19556" operator="between">
      <formula>10</formula>
      <formula>15</formula>
    </cfRule>
    <cfRule type="cellIs" dxfId="782" priority="19557" operator="between">
      <formula>5</formula>
      <formula>9</formula>
    </cfRule>
    <cfRule type="cellIs" dxfId="781" priority="19558" operator="between">
      <formula>0</formula>
      <formula>4</formula>
    </cfRule>
  </conditionalFormatting>
  <conditionalFormatting sqref="K1008">
    <cfRule type="cellIs" dxfId="780" priority="19540" operator="between">
      <formula>16</formula>
      <formula>25</formula>
    </cfRule>
    <cfRule type="cellIs" dxfId="779" priority="19541" operator="between">
      <formula>10</formula>
      <formula>15</formula>
    </cfRule>
    <cfRule type="cellIs" dxfId="778" priority="19542" operator="between">
      <formula>5</formula>
      <formula>9</formula>
    </cfRule>
    <cfRule type="cellIs" dxfId="777" priority="19543" operator="between">
      <formula>0</formula>
      <formula>4</formula>
    </cfRule>
  </conditionalFormatting>
  <conditionalFormatting sqref="B1008">
    <cfRule type="containsText" dxfId="776" priority="19538" operator="containsText" text="WHS">
      <formula>NOT(ISERROR(SEARCH("WHS",B1008)))</formula>
    </cfRule>
    <cfRule type="containsText" dxfId="775" priority="19539" operator="containsText" text="Environment">
      <formula>NOT(ISERROR(SEARCH("Environment",B1008)))</formula>
    </cfRule>
  </conditionalFormatting>
  <conditionalFormatting sqref="B1008">
    <cfRule type="containsText" dxfId="774" priority="19537" operator="containsText" text="Quality">
      <formula>NOT(ISERROR(SEARCH("Quality",B1008)))</formula>
    </cfRule>
  </conditionalFormatting>
  <conditionalFormatting sqref="F1008">
    <cfRule type="cellIs" dxfId="773" priority="19544" operator="between">
      <formula>16</formula>
      <formula>25</formula>
    </cfRule>
    <cfRule type="cellIs" dxfId="772" priority="19545" operator="between">
      <formula>10</formula>
      <formula>15</formula>
    </cfRule>
    <cfRule type="cellIs" dxfId="771" priority="19546" operator="between">
      <formula>5</formula>
      <formula>9</formula>
    </cfRule>
    <cfRule type="cellIs" dxfId="770" priority="19547" operator="between">
      <formula>0</formula>
      <formula>4</formula>
    </cfRule>
  </conditionalFormatting>
  <conditionalFormatting sqref="K1009">
    <cfRule type="cellIs" dxfId="769" priority="19529" operator="between">
      <formula>16</formula>
      <formula>25</formula>
    </cfRule>
    <cfRule type="cellIs" dxfId="768" priority="19530" operator="between">
      <formula>10</formula>
      <formula>15</formula>
    </cfRule>
    <cfRule type="cellIs" dxfId="767" priority="19531" operator="between">
      <formula>5</formula>
      <formula>9</formula>
    </cfRule>
    <cfRule type="cellIs" dxfId="766" priority="19532" operator="between">
      <formula>0</formula>
      <formula>4</formula>
    </cfRule>
  </conditionalFormatting>
  <conditionalFormatting sqref="B1009">
    <cfRule type="containsText" dxfId="765" priority="19527" operator="containsText" text="WHS">
      <formula>NOT(ISERROR(SEARCH("WHS",B1009)))</formula>
    </cfRule>
    <cfRule type="containsText" dxfId="764" priority="19528" operator="containsText" text="Environment">
      <formula>NOT(ISERROR(SEARCH("Environment",B1009)))</formula>
    </cfRule>
  </conditionalFormatting>
  <conditionalFormatting sqref="B1009">
    <cfRule type="containsText" dxfId="763" priority="19526" operator="containsText" text="Quality">
      <formula>NOT(ISERROR(SEARCH("Quality",B1009)))</formula>
    </cfRule>
  </conditionalFormatting>
  <conditionalFormatting sqref="F1009">
    <cfRule type="cellIs" dxfId="762" priority="19533" operator="between">
      <formula>16</formula>
      <formula>25</formula>
    </cfRule>
    <cfRule type="cellIs" dxfId="761" priority="19534" operator="between">
      <formula>10</formula>
      <formula>15</formula>
    </cfRule>
    <cfRule type="cellIs" dxfId="760" priority="19535" operator="between">
      <formula>5</formula>
      <formula>9</formula>
    </cfRule>
    <cfRule type="cellIs" dxfId="759" priority="19536" operator="between">
      <formula>0</formula>
      <formula>4</formula>
    </cfRule>
  </conditionalFormatting>
  <conditionalFormatting sqref="K1010">
    <cfRule type="cellIs" dxfId="758" priority="19518" operator="between">
      <formula>16</formula>
      <formula>25</formula>
    </cfRule>
    <cfRule type="cellIs" dxfId="757" priority="19519" operator="between">
      <formula>10</formula>
      <formula>15</formula>
    </cfRule>
    <cfRule type="cellIs" dxfId="756" priority="19520" operator="between">
      <formula>5</formula>
      <formula>9</formula>
    </cfRule>
    <cfRule type="cellIs" dxfId="755" priority="19521" operator="between">
      <formula>0</formula>
      <formula>4</formula>
    </cfRule>
  </conditionalFormatting>
  <conditionalFormatting sqref="B1010">
    <cfRule type="containsText" dxfId="754" priority="19516" operator="containsText" text="WHS">
      <formula>NOT(ISERROR(SEARCH("WHS",B1010)))</formula>
    </cfRule>
    <cfRule type="containsText" dxfId="753" priority="19517" operator="containsText" text="Environment">
      <formula>NOT(ISERROR(SEARCH("Environment",B1010)))</formula>
    </cfRule>
  </conditionalFormatting>
  <conditionalFormatting sqref="B1010">
    <cfRule type="containsText" dxfId="752" priority="19515" operator="containsText" text="Quality">
      <formula>NOT(ISERROR(SEARCH("Quality",B1010)))</formula>
    </cfRule>
  </conditionalFormatting>
  <conditionalFormatting sqref="F1010">
    <cfRule type="cellIs" dxfId="751" priority="19522" operator="between">
      <formula>16</formula>
      <formula>25</formula>
    </cfRule>
    <cfRule type="cellIs" dxfId="750" priority="19523" operator="between">
      <formula>10</formula>
      <formula>15</formula>
    </cfRule>
    <cfRule type="cellIs" dxfId="749" priority="19524" operator="between">
      <formula>5</formula>
      <formula>9</formula>
    </cfRule>
    <cfRule type="cellIs" dxfId="748" priority="19525" operator="between">
      <formula>0</formula>
      <formula>4</formula>
    </cfRule>
  </conditionalFormatting>
  <conditionalFormatting sqref="K1011">
    <cfRule type="cellIs" dxfId="747" priority="19507" operator="between">
      <formula>16</formula>
      <formula>25</formula>
    </cfRule>
    <cfRule type="cellIs" dxfId="746" priority="19508" operator="between">
      <formula>10</formula>
      <formula>15</formula>
    </cfRule>
    <cfRule type="cellIs" dxfId="745" priority="19509" operator="between">
      <formula>5</formula>
      <formula>9</formula>
    </cfRule>
    <cfRule type="cellIs" dxfId="744" priority="19510" operator="between">
      <formula>0</formula>
      <formula>4</formula>
    </cfRule>
  </conditionalFormatting>
  <conditionalFormatting sqref="B1011">
    <cfRule type="containsText" dxfId="743" priority="19505" operator="containsText" text="WHS">
      <formula>NOT(ISERROR(SEARCH("WHS",B1011)))</formula>
    </cfRule>
    <cfRule type="containsText" dxfId="742" priority="19506" operator="containsText" text="Environment">
      <formula>NOT(ISERROR(SEARCH("Environment",B1011)))</formula>
    </cfRule>
  </conditionalFormatting>
  <conditionalFormatting sqref="B1011">
    <cfRule type="containsText" dxfId="741" priority="19504" operator="containsText" text="Quality">
      <formula>NOT(ISERROR(SEARCH("Quality",B1011)))</formula>
    </cfRule>
  </conditionalFormatting>
  <conditionalFormatting sqref="F1011">
    <cfRule type="cellIs" dxfId="740" priority="19511" operator="between">
      <formula>16</formula>
      <formula>25</formula>
    </cfRule>
    <cfRule type="cellIs" dxfId="739" priority="19512" operator="between">
      <formula>10</formula>
      <formula>15</formula>
    </cfRule>
    <cfRule type="cellIs" dxfId="738" priority="19513" operator="between">
      <formula>5</formula>
      <formula>9</formula>
    </cfRule>
    <cfRule type="cellIs" dxfId="737" priority="19514" operator="between">
      <formula>0</formula>
      <formula>4</formula>
    </cfRule>
  </conditionalFormatting>
  <conditionalFormatting sqref="K1012">
    <cfRule type="cellIs" dxfId="736" priority="19496" operator="between">
      <formula>16</formula>
      <formula>25</formula>
    </cfRule>
    <cfRule type="cellIs" dxfId="735" priority="19497" operator="between">
      <formula>10</formula>
      <formula>15</formula>
    </cfRule>
    <cfRule type="cellIs" dxfId="734" priority="19498" operator="between">
      <formula>5</formula>
      <formula>9</formula>
    </cfRule>
    <cfRule type="cellIs" dxfId="733" priority="19499" operator="between">
      <formula>0</formula>
      <formula>4</formula>
    </cfRule>
  </conditionalFormatting>
  <conditionalFormatting sqref="B1012">
    <cfRule type="containsText" dxfId="732" priority="19494" operator="containsText" text="WHS">
      <formula>NOT(ISERROR(SEARCH("WHS",B1012)))</formula>
    </cfRule>
    <cfRule type="containsText" dxfId="731" priority="19495" operator="containsText" text="Environment">
      <formula>NOT(ISERROR(SEARCH("Environment",B1012)))</formula>
    </cfRule>
  </conditionalFormatting>
  <conditionalFormatting sqref="B1012">
    <cfRule type="containsText" dxfId="730" priority="19493" operator="containsText" text="Quality">
      <formula>NOT(ISERROR(SEARCH("Quality",B1012)))</formula>
    </cfRule>
  </conditionalFormatting>
  <conditionalFormatting sqref="F1012">
    <cfRule type="cellIs" dxfId="729" priority="19500" operator="between">
      <formula>16</formula>
      <formula>25</formula>
    </cfRule>
    <cfRule type="cellIs" dxfId="728" priority="19501" operator="between">
      <formula>10</formula>
      <formula>15</formula>
    </cfRule>
    <cfRule type="cellIs" dxfId="727" priority="19502" operator="between">
      <formula>5</formula>
      <formula>9</formula>
    </cfRule>
    <cfRule type="cellIs" dxfId="726" priority="19503" operator="between">
      <formula>0</formula>
      <formula>4</formula>
    </cfRule>
  </conditionalFormatting>
  <conditionalFormatting sqref="K1013">
    <cfRule type="cellIs" dxfId="725" priority="19485" operator="between">
      <formula>16</formula>
      <formula>25</formula>
    </cfRule>
    <cfRule type="cellIs" dxfId="724" priority="19486" operator="between">
      <formula>10</formula>
      <formula>15</formula>
    </cfRule>
    <cfRule type="cellIs" dxfId="723" priority="19487" operator="between">
      <formula>5</formula>
      <formula>9</formula>
    </cfRule>
    <cfRule type="cellIs" dxfId="722" priority="19488" operator="between">
      <formula>0</formula>
      <formula>4</formula>
    </cfRule>
  </conditionalFormatting>
  <conditionalFormatting sqref="B1013">
    <cfRule type="containsText" dxfId="721" priority="19483" operator="containsText" text="WHS">
      <formula>NOT(ISERROR(SEARCH("WHS",B1013)))</formula>
    </cfRule>
    <cfRule type="containsText" dxfId="720" priority="19484" operator="containsText" text="Environment">
      <formula>NOT(ISERROR(SEARCH("Environment",B1013)))</formula>
    </cfRule>
  </conditionalFormatting>
  <conditionalFormatting sqref="B1013">
    <cfRule type="containsText" dxfId="719" priority="19482" operator="containsText" text="Quality">
      <formula>NOT(ISERROR(SEARCH("Quality",B1013)))</formula>
    </cfRule>
  </conditionalFormatting>
  <conditionalFormatting sqref="F1013">
    <cfRule type="cellIs" dxfId="718" priority="19489" operator="between">
      <formula>16</formula>
      <formula>25</formula>
    </cfRule>
    <cfRule type="cellIs" dxfId="717" priority="19490" operator="between">
      <formula>10</formula>
      <formula>15</formula>
    </cfRule>
    <cfRule type="cellIs" dxfId="716" priority="19491" operator="between">
      <formula>5</formula>
      <formula>9</formula>
    </cfRule>
    <cfRule type="cellIs" dxfId="715" priority="19492" operator="between">
      <formula>0</formula>
      <formula>4</formula>
    </cfRule>
  </conditionalFormatting>
  <conditionalFormatting sqref="K1014">
    <cfRule type="cellIs" dxfId="714" priority="19474" operator="between">
      <formula>16</formula>
      <formula>25</formula>
    </cfRule>
    <cfRule type="cellIs" dxfId="713" priority="19475" operator="between">
      <formula>10</formula>
      <formula>15</formula>
    </cfRule>
    <cfRule type="cellIs" dxfId="712" priority="19476" operator="between">
      <formula>5</formula>
      <formula>9</formula>
    </cfRule>
    <cfRule type="cellIs" dxfId="711" priority="19477" operator="between">
      <formula>0</formula>
      <formula>4</formula>
    </cfRule>
  </conditionalFormatting>
  <conditionalFormatting sqref="B1014">
    <cfRule type="containsText" dxfId="710" priority="19472" operator="containsText" text="WHS">
      <formula>NOT(ISERROR(SEARCH("WHS",B1014)))</formula>
    </cfRule>
    <cfRule type="containsText" dxfId="709" priority="19473" operator="containsText" text="Environment">
      <formula>NOT(ISERROR(SEARCH("Environment",B1014)))</formula>
    </cfRule>
  </conditionalFormatting>
  <conditionalFormatting sqref="B1014">
    <cfRule type="containsText" dxfId="708" priority="19471" operator="containsText" text="Quality">
      <formula>NOT(ISERROR(SEARCH("Quality",B1014)))</formula>
    </cfRule>
  </conditionalFormatting>
  <conditionalFormatting sqref="F1014">
    <cfRule type="cellIs" dxfId="707" priority="19478" operator="between">
      <formula>16</formula>
      <formula>25</formula>
    </cfRule>
    <cfRule type="cellIs" dxfId="706" priority="19479" operator="between">
      <formula>10</formula>
      <formula>15</formula>
    </cfRule>
    <cfRule type="cellIs" dxfId="705" priority="19480" operator="between">
      <formula>5</formula>
      <formula>9</formula>
    </cfRule>
    <cfRule type="cellIs" dxfId="704" priority="19481" operator="between">
      <formula>0</formula>
      <formula>4</formula>
    </cfRule>
  </conditionalFormatting>
  <conditionalFormatting sqref="K1015">
    <cfRule type="cellIs" dxfId="703" priority="19463" operator="between">
      <formula>16</formula>
      <formula>25</formula>
    </cfRule>
    <cfRule type="cellIs" dxfId="702" priority="19464" operator="between">
      <formula>10</formula>
      <formula>15</formula>
    </cfRule>
    <cfRule type="cellIs" dxfId="701" priority="19465" operator="between">
      <formula>5</formula>
      <formula>9</formula>
    </cfRule>
    <cfRule type="cellIs" dxfId="700" priority="19466" operator="between">
      <formula>0</formula>
      <formula>4</formula>
    </cfRule>
  </conditionalFormatting>
  <conditionalFormatting sqref="B1015">
    <cfRule type="containsText" dxfId="699" priority="19461" operator="containsText" text="WHS">
      <formula>NOT(ISERROR(SEARCH("WHS",B1015)))</formula>
    </cfRule>
    <cfRule type="containsText" dxfId="698" priority="19462" operator="containsText" text="Environment">
      <formula>NOT(ISERROR(SEARCH("Environment",B1015)))</formula>
    </cfRule>
  </conditionalFormatting>
  <conditionalFormatting sqref="B1015">
    <cfRule type="containsText" dxfId="697" priority="19460" operator="containsText" text="Quality">
      <formula>NOT(ISERROR(SEARCH("Quality",B1015)))</formula>
    </cfRule>
  </conditionalFormatting>
  <conditionalFormatting sqref="F1015">
    <cfRule type="cellIs" dxfId="696" priority="19467" operator="between">
      <formula>16</formula>
      <formula>25</formula>
    </cfRule>
    <cfRule type="cellIs" dxfId="695" priority="19468" operator="between">
      <formula>10</formula>
      <formula>15</formula>
    </cfRule>
    <cfRule type="cellIs" dxfId="694" priority="19469" operator="between">
      <formula>5</formula>
      <formula>9</formula>
    </cfRule>
    <cfRule type="cellIs" dxfId="693" priority="19470" operator="between">
      <formula>0</formula>
      <formula>4</formula>
    </cfRule>
  </conditionalFormatting>
  <conditionalFormatting sqref="K1016">
    <cfRule type="cellIs" dxfId="692" priority="19452" operator="between">
      <formula>16</formula>
      <formula>25</formula>
    </cfRule>
    <cfRule type="cellIs" dxfId="691" priority="19453" operator="between">
      <formula>10</formula>
      <formula>15</formula>
    </cfRule>
    <cfRule type="cellIs" dxfId="690" priority="19454" operator="between">
      <formula>5</formula>
      <formula>9</formula>
    </cfRule>
    <cfRule type="cellIs" dxfId="689" priority="19455" operator="between">
      <formula>0</formula>
      <formula>4</formula>
    </cfRule>
  </conditionalFormatting>
  <conditionalFormatting sqref="B1016">
    <cfRule type="containsText" dxfId="688" priority="19450" operator="containsText" text="WHS">
      <formula>NOT(ISERROR(SEARCH("WHS",B1016)))</formula>
    </cfRule>
    <cfRule type="containsText" dxfId="687" priority="19451" operator="containsText" text="Environment">
      <formula>NOT(ISERROR(SEARCH("Environment",B1016)))</formula>
    </cfRule>
  </conditionalFormatting>
  <conditionalFormatting sqref="B1016">
    <cfRule type="containsText" dxfId="686" priority="19449" operator="containsText" text="Quality">
      <formula>NOT(ISERROR(SEARCH("Quality",B1016)))</formula>
    </cfRule>
  </conditionalFormatting>
  <conditionalFormatting sqref="F1016">
    <cfRule type="cellIs" dxfId="685" priority="19456" operator="between">
      <formula>16</formula>
      <formula>25</formula>
    </cfRule>
    <cfRule type="cellIs" dxfId="684" priority="19457" operator="between">
      <formula>10</formula>
      <formula>15</formula>
    </cfRule>
    <cfRule type="cellIs" dxfId="683" priority="19458" operator="between">
      <formula>5</formula>
      <formula>9</formula>
    </cfRule>
    <cfRule type="cellIs" dxfId="682" priority="19459" operator="between">
      <formula>0</formula>
      <formula>4</formula>
    </cfRule>
  </conditionalFormatting>
  <conditionalFormatting sqref="K1017">
    <cfRule type="cellIs" dxfId="681" priority="19441" operator="between">
      <formula>16</formula>
      <formula>25</formula>
    </cfRule>
    <cfRule type="cellIs" dxfId="680" priority="19442" operator="between">
      <formula>10</formula>
      <formula>15</formula>
    </cfRule>
    <cfRule type="cellIs" dxfId="679" priority="19443" operator="between">
      <formula>5</formula>
      <formula>9</formula>
    </cfRule>
    <cfRule type="cellIs" dxfId="678" priority="19444" operator="between">
      <formula>0</formula>
      <formula>4</formula>
    </cfRule>
  </conditionalFormatting>
  <conditionalFormatting sqref="B1017">
    <cfRule type="containsText" dxfId="677" priority="19439" operator="containsText" text="WHS">
      <formula>NOT(ISERROR(SEARCH("WHS",B1017)))</formula>
    </cfRule>
    <cfRule type="containsText" dxfId="676" priority="19440" operator="containsText" text="Environment">
      <formula>NOT(ISERROR(SEARCH("Environment",B1017)))</formula>
    </cfRule>
  </conditionalFormatting>
  <conditionalFormatting sqref="B1017">
    <cfRule type="containsText" dxfId="675" priority="19438" operator="containsText" text="Quality">
      <formula>NOT(ISERROR(SEARCH("Quality",B1017)))</formula>
    </cfRule>
  </conditionalFormatting>
  <conditionalFormatting sqref="F1017">
    <cfRule type="cellIs" dxfId="674" priority="19445" operator="between">
      <formula>16</formula>
      <formula>25</formula>
    </cfRule>
    <cfRule type="cellIs" dxfId="673" priority="19446" operator="between">
      <formula>10</formula>
      <formula>15</formula>
    </cfRule>
    <cfRule type="cellIs" dxfId="672" priority="19447" operator="between">
      <formula>5</formula>
      <formula>9</formula>
    </cfRule>
    <cfRule type="cellIs" dxfId="671" priority="19448" operator="between">
      <formula>0</formula>
      <formula>4</formula>
    </cfRule>
  </conditionalFormatting>
  <conditionalFormatting sqref="K1018">
    <cfRule type="cellIs" dxfId="670" priority="19430" operator="between">
      <formula>16</formula>
      <formula>25</formula>
    </cfRule>
    <cfRule type="cellIs" dxfId="669" priority="19431" operator="between">
      <formula>10</formula>
      <formula>15</formula>
    </cfRule>
    <cfRule type="cellIs" dxfId="668" priority="19432" operator="between">
      <formula>5</formula>
      <formula>9</formula>
    </cfRule>
    <cfRule type="cellIs" dxfId="667" priority="19433" operator="between">
      <formula>0</formula>
      <formula>4</formula>
    </cfRule>
  </conditionalFormatting>
  <conditionalFormatting sqref="B1018">
    <cfRule type="containsText" dxfId="666" priority="19428" operator="containsText" text="WHS">
      <formula>NOT(ISERROR(SEARCH("WHS",B1018)))</formula>
    </cfRule>
    <cfRule type="containsText" dxfId="665" priority="19429" operator="containsText" text="Environment">
      <formula>NOT(ISERROR(SEARCH("Environment",B1018)))</formula>
    </cfRule>
  </conditionalFormatting>
  <conditionalFormatting sqref="B1018">
    <cfRule type="containsText" dxfId="664" priority="19427" operator="containsText" text="Quality">
      <formula>NOT(ISERROR(SEARCH("Quality",B1018)))</formula>
    </cfRule>
  </conditionalFormatting>
  <conditionalFormatting sqref="F1018">
    <cfRule type="cellIs" dxfId="663" priority="19434" operator="between">
      <formula>16</formula>
      <formula>25</formula>
    </cfRule>
    <cfRule type="cellIs" dxfId="662" priority="19435" operator="between">
      <formula>10</formula>
      <formula>15</formula>
    </cfRule>
    <cfRule type="cellIs" dxfId="661" priority="19436" operator="between">
      <formula>5</formula>
      <formula>9</formula>
    </cfRule>
    <cfRule type="cellIs" dxfId="660" priority="19437" operator="between">
      <formula>0</formula>
      <formula>4</formula>
    </cfRule>
  </conditionalFormatting>
  <conditionalFormatting sqref="K1019">
    <cfRule type="cellIs" dxfId="659" priority="19419" operator="between">
      <formula>16</formula>
      <formula>25</formula>
    </cfRule>
    <cfRule type="cellIs" dxfId="658" priority="19420" operator="between">
      <formula>10</formula>
      <formula>15</formula>
    </cfRule>
    <cfRule type="cellIs" dxfId="657" priority="19421" operator="between">
      <formula>5</formula>
      <formula>9</formula>
    </cfRule>
    <cfRule type="cellIs" dxfId="656" priority="19422" operator="between">
      <formula>0</formula>
      <formula>4</formula>
    </cfRule>
  </conditionalFormatting>
  <conditionalFormatting sqref="B1019">
    <cfRule type="containsText" dxfId="655" priority="19417" operator="containsText" text="WHS">
      <formula>NOT(ISERROR(SEARCH("WHS",B1019)))</formula>
    </cfRule>
    <cfRule type="containsText" dxfId="654" priority="19418" operator="containsText" text="Environment">
      <formula>NOT(ISERROR(SEARCH("Environment",B1019)))</formula>
    </cfRule>
  </conditionalFormatting>
  <conditionalFormatting sqref="B1019">
    <cfRule type="containsText" dxfId="653" priority="19416" operator="containsText" text="Quality">
      <formula>NOT(ISERROR(SEARCH("Quality",B1019)))</formula>
    </cfRule>
  </conditionalFormatting>
  <conditionalFormatting sqref="F1019">
    <cfRule type="cellIs" dxfId="652" priority="19423" operator="between">
      <formula>16</formula>
      <formula>25</formula>
    </cfRule>
    <cfRule type="cellIs" dxfId="651" priority="19424" operator="between">
      <formula>10</formula>
      <formula>15</formula>
    </cfRule>
    <cfRule type="cellIs" dxfId="650" priority="19425" operator="between">
      <formula>5</formula>
      <formula>9</formula>
    </cfRule>
    <cfRule type="cellIs" dxfId="649" priority="19426" operator="between">
      <formula>0</formula>
      <formula>4</formula>
    </cfRule>
  </conditionalFormatting>
  <conditionalFormatting sqref="K1020">
    <cfRule type="cellIs" dxfId="648" priority="19408" operator="between">
      <formula>16</formula>
      <formula>25</formula>
    </cfRule>
    <cfRule type="cellIs" dxfId="647" priority="19409" operator="between">
      <formula>10</formula>
      <formula>15</formula>
    </cfRule>
    <cfRule type="cellIs" dxfId="646" priority="19410" operator="between">
      <formula>5</formula>
      <formula>9</formula>
    </cfRule>
    <cfRule type="cellIs" dxfId="645" priority="19411" operator="between">
      <formula>0</formula>
      <formula>4</formula>
    </cfRule>
  </conditionalFormatting>
  <conditionalFormatting sqref="B1020">
    <cfRule type="containsText" dxfId="644" priority="19406" operator="containsText" text="WHS">
      <formula>NOT(ISERROR(SEARCH("WHS",B1020)))</formula>
    </cfRule>
    <cfRule type="containsText" dxfId="643" priority="19407" operator="containsText" text="Environment">
      <formula>NOT(ISERROR(SEARCH("Environment",B1020)))</formula>
    </cfRule>
  </conditionalFormatting>
  <conditionalFormatting sqref="B1020">
    <cfRule type="containsText" dxfId="642" priority="19405" operator="containsText" text="Quality">
      <formula>NOT(ISERROR(SEARCH("Quality",B1020)))</formula>
    </cfRule>
  </conditionalFormatting>
  <conditionalFormatting sqref="F1020">
    <cfRule type="cellIs" dxfId="641" priority="19412" operator="between">
      <formula>16</formula>
      <formula>25</formula>
    </cfRule>
    <cfRule type="cellIs" dxfId="640" priority="19413" operator="between">
      <formula>10</formula>
      <formula>15</formula>
    </cfRule>
    <cfRule type="cellIs" dxfId="639" priority="19414" operator="between">
      <formula>5</formula>
      <formula>9</formula>
    </cfRule>
    <cfRule type="cellIs" dxfId="638" priority="19415" operator="between">
      <formula>0</formula>
      <formula>4</formula>
    </cfRule>
  </conditionalFormatting>
  <conditionalFormatting sqref="K1021">
    <cfRule type="cellIs" dxfId="637" priority="19397" operator="between">
      <formula>16</formula>
      <formula>25</formula>
    </cfRule>
    <cfRule type="cellIs" dxfId="636" priority="19398" operator="between">
      <formula>10</formula>
      <formula>15</formula>
    </cfRule>
    <cfRule type="cellIs" dxfId="635" priority="19399" operator="between">
      <formula>5</formula>
      <formula>9</formula>
    </cfRule>
    <cfRule type="cellIs" dxfId="634" priority="19400" operator="between">
      <formula>0</formula>
      <formula>4</formula>
    </cfRule>
  </conditionalFormatting>
  <conditionalFormatting sqref="B1021">
    <cfRule type="containsText" dxfId="633" priority="19395" operator="containsText" text="WHS">
      <formula>NOT(ISERROR(SEARCH("WHS",B1021)))</formula>
    </cfRule>
    <cfRule type="containsText" dxfId="632" priority="19396" operator="containsText" text="Environment">
      <formula>NOT(ISERROR(SEARCH("Environment",B1021)))</formula>
    </cfRule>
  </conditionalFormatting>
  <conditionalFormatting sqref="B1021">
    <cfRule type="containsText" dxfId="631" priority="19394" operator="containsText" text="Quality">
      <formula>NOT(ISERROR(SEARCH("Quality",B1021)))</formula>
    </cfRule>
  </conditionalFormatting>
  <conditionalFormatting sqref="F1021">
    <cfRule type="cellIs" dxfId="630" priority="19401" operator="between">
      <formula>16</formula>
      <formula>25</formula>
    </cfRule>
    <cfRule type="cellIs" dxfId="629" priority="19402" operator="between">
      <formula>10</formula>
      <formula>15</formula>
    </cfRule>
    <cfRule type="cellIs" dxfId="628" priority="19403" operator="between">
      <formula>5</formula>
      <formula>9</formula>
    </cfRule>
    <cfRule type="cellIs" dxfId="627" priority="19404" operator="between">
      <formula>0</formula>
      <formula>4</formula>
    </cfRule>
  </conditionalFormatting>
  <conditionalFormatting sqref="K1022">
    <cfRule type="cellIs" dxfId="626" priority="19386" operator="between">
      <formula>16</formula>
      <formula>25</formula>
    </cfRule>
    <cfRule type="cellIs" dxfId="625" priority="19387" operator="between">
      <formula>10</formula>
      <formula>15</formula>
    </cfRule>
    <cfRule type="cellIs" dxfId="624" priority="19388" operator="between">
      <formula>5</formula>
      <formula>9</formula>
    </cfRule>
    <cfRule type="cellIs" dxfId="623" priority="19389" operator="between">
      <formula>0</formula>
      <formula>4</formula>
    </cfRule>
  </conditionalFormatting>
  <conditionalFormatting sqref="B1022">
    <cfRule type="containsText" dxfId="622" priority="19384" operator="containsText" text="WHS">
      <formula>NOT(ISERROR(SEARCH("WHS",B1022)))</formula>
    </cfRule>
    <cfRule type="containsText" dxfId="621" priority="19385" operator="containsText" text="Environment">
      <formula>NOT(ISERROR(SEARCH("Environment",B1022)))</formula>
    </cfRule>
  </conditionalFormatting>
  <conditionalFormatting sqref="B1022">
    <cfRule type="containsText" dxfId="620" priority="19383" operator="containsText" text="Quality">
      <formula>NOT(ISERROR(SEARCH("Quality",B1022)))</formula>
    </cfRule>
  </conditionalFormatting>
  <conditionalFormatting sqref="F1022">
    <cfRule type="cellIs" dxfId="619" priority="19390" operator="between">
      <formula>16</formula>
      <formula>25</formula>
    </cfRule>
    <cfRule type="cellIs" dxfId="618" priority="19391" operator="between">
      <formula>10</formula>
      <formula>15</formula>
    </cfRule>
    <cfRule type="cellIs" dxfId="617" priority="19392" operator="between">
      <formula>5</formula>
      <formula>9</formula>
    </cfRule>
    <cfRule type="cellIs" dxfId="616" priority="19393" operator="between">
      <formula>0</formula>
      <formula>4</formula>
    </cfRule>
  </conditionalFormatting>
  <conditionalFormatting sqref="K1023">
    <cfRule type="cellIs" dxfId="615" priority="19375" operator="between">
      <formula>16</formula>
      <formula>25</formula>
    </cfRule>
    <cfRule type="cellIs" dxfId="614" priority="19376" operator="between">
      <formula>10</formula>
      <formula>15</formula>
    </cfRule>
    <cfRule type="cellIs" dxfId="613" priority="19377" operator="between">
      <formula>5</formula>
      <formula>9</formula>
    </cfRule>
    <cfRule type="cellIs" dxfId="612" priority="19378" operator="between">
      <formula>0</formula>
      <formula>4</formula>
    </cfRule>
  </conditionalFormatting>
  <conditionalFormatting sqref="B1023">
    <cfRule type="containsText" dxfId="611" priority="19373" operator="containsText" text="WHS">
      <formula>NOT(ISERROR(SEARCH("WHS",B1023)))</formula>
    </cfRule>
    <cfRule type="containsText" dxfId="610" priority="19374" operator="containsText" text="Environment">
      <formula>NOT(ISERROR(SEARCH("Environment",B1023)))</formula>
    </cfRule>
  </conditionalFormatting>
  <conditionalFormatting sqref="B1023">
    <cfRule type="containsText" dxfId="609" priority="19372" operator="containsText" text="Quality">
      <formula>NOT(ISERROR(SEARCH("Quality",B1023)))</formula>
    </cfRule>
  </conditionalFormatting>
  <conditionalFormatting sqref="F1023">
    <cfRule type="cellIs" dxfId="608" priority="19379" operator="between">
      <formula>16</formula>
      <formula>25</formula>
    </cfRule>
    <cfRule type="cellIs" dxfId="607" priority="19380" operator="between">
      <formula>10</formula>
      <formula>15</formula>
    </cfRule>
    <cfRule type="cellIs" dxfId="606" priority="19381" operator="between">
      <formula>5</formula>
      <formula>9</formula>
    </cfRule>
    <cfRule type="cellIs" dxfId="605" priority="19382" operator="between">
      <formula>0</formula>
      <formula>4</formula>
    </cfRule>
  </conditionalFormatting>
  <conditionalFormatting sqref="K1024">
    <cfRule type="cellIs" dxfId="604" priority="19364" operator="between">
      <formula>16</formula>
      <formula>25</formula>
    </cfRule>
    <cfRule type="cellIs" dxfId="603" priority="19365" operator="between">
      <formula>10</formula>
      <formula>15</formula>
    </cfRule>
    <cfRule type="cellIs" dxfId="602" priority="19366" operator="between">
      <formula>5</formula>
      <formula>9</formula>
    </cfRule>
    <cfRule type="cellIs" dxfId="601" priority="19367" operator="between">
      <formula>0</formula>
      <formula>4</formula>
    </cfRule>
  </conditionalFormatting>
  <conditionalFormatting sqref="B1024">
    <cfRule type="containsText" dxfId="600" priority="19362" operator="containsText" text="WHS">
      <formula>NOT(ISERROR(SEARCH("WHS",B1024)))</formula>
    </cfRule>
    <cfRule type="containsText" dxfId="599" priority="19363" operator="containsText" text="Environment">
      <formula>NOT(ISERROR(SEARCH("Environment",B1024)))</formula>
    </cfRule>
  </conditionalFormatting>
  <conditionalFormatting sqref="B1024">
    <cfRule type="containsText" dxfId="598" priority="19361" operator="containsText" text="Quality">
      <formula>NOT(ISERROR(SEARCH("Quality",B1024)))</formula>
    </cfRule>
  </conditionalFormatting>
  <conditionalFormatting sqref="F1024">
    <cfRule type="cellIs" dxfId="597" priority="19368" operator="between">
      <formula>16</formula>
      <formula>25</formula>
    </cfRule>
    <cfRule type="cellIs" dxfId="596" priority="19369" operator="between">
      <formula>10</formula>
      <formula>15</formula>
    </cfRule>
    <cfRule type="cellIs" dxfId="595" priority="19370" operator="between">
      <formula>5</formula>
      <formula>9</formula>
    </cfRule>
    <cfRule type="cellIs" dxfId="594" priority="19371" operator="between">
      <formula>0</formula>
      <formula>4</formula>
    </cfRule>
  </conditionalFormatting>
  <conditionalFormatting sqref="K1025">
    <cfRule type="cellIs" dxfId="593" priority="19353" operator="between">
      <formula>16</formula>
      <formula>25</formula>
    </cfRule>
    <cfRule type="cellIs" dxfId="592" priority="19354" operator="between">
      <formula>10</formula>
      <formula>15</formula>
    </cfRule>
    <cfRule type="cellIs" dxfId="591" priority="19355" operator="between">
      <formula>5</formula>
      <formula>9</formula>
    </cfRule>
    <cfRule type="cellIs" dxfId="590" priority="19356" operator="between">
      <formula>0</formula>
      <formula>4</formula>
    </cfRule>
  </conditionalFormatting>
  <conditionalFormatting sqref="B1025">
    <cfRule type="containsText" dxfId="589" priority="19351" operator="containsText" text="WHS">
      <formula>NOT(ISERROR(SEARCH("WHS",B1025)))</formula>
    </cfRule>
    <cfRule type="containsText" dxfId="588" priority="19352" operator="containsText" text="Environment">
      <formula>NOT(ISERROR(SEARCH("Environment",B1025)))</formula>
    </cfRule>
  </conditionalFormatting>
  <conditionalFormatting sqref="B1025">
    <cfRule type="containsText" dxfId="587" priority="19350" operator="containsText" text="Quality">
      <formula>NOT(ISERROR(SEARCH("Quality",B1025)))</formula>
    </cfRule>
  </conditionalFormatting>
  <conditionalFormatting sqref="F1025">
    <cfRule type="cellIs" dxfId="586" priority="19357" operator="between">
      <formula>16</formula>
      <formula>25</formula>
    </cfRule>
    <cfRule type="cellIs" dxfId="585" priority="19358" operator="between">
      <formula>10</formula>
      <formula>15</formula>
    </cfRule>
    <cfRule type="cellIs" dxfId="584" priority="19359" operator="between">
      <formula>5</formula>
      <formula>9</formula>
    </cfRule>
    <cfRule type="cellIs" dxfId="583" priority="19360" operator="between">
      <formula>0</formula>
      <formula>4</formula>
    </cfRule>
  </conditionalFormatting>
  <conditionalFormatting sqref="K1026">
    <cfRule type="cellIs" dxfId="582" priority="19342" operator="between">
      <formula>16</formula>
      <formula>25</formula>
    </cfRule>
    <cfRule type="cellIs" dxfId="581" priority="19343" operator="between">
      <formula>10</formula>
      <formula>15</formula>
    </cfRule>
    <cfRule type="cellIs" dxfId="580" priority="19344" operator="between">
      <formula>5</formula>
      <formula>9</formula>
    </cfRule>
    <cfRule type="cellIs" dxfId="579" priority="19345" operator="between">
      <formula>0</formula>
      <formula>4</formula>
    </cfRule>
  </conditionalFormatting>
  <conditionalFormatting sqref="B1026">
    <cfRule type="containsText" dxfId="578" priority="19340" operator="containsText" text="WHS">
      <formula>NOT(ISERROR(SEARCH("WHS",B1026)))</formula>
    </cfRule>
    <cfRule type="containsText" dxfId="577" priority="19341" operator="containsText" text="Environment">
      <formula>NOT(ISERROR(SEARCH("Environment",B1026)))</formula>
    </cfRule>
  </conditionalFormatting>
  <conditionalFormatting sqref="B1026">
    <cfRule type="containsText" dxfId="576" priority="19339" operator="containsText" text="Quality">
      <formula>NOT(ISERROR(SEARCH("Quality",B1026)))</formula>
    </cfRule>
  </conditionalFormatting>
  <conditionalFormatting sqref="F1026">
    <cfRule type="cellIs" dxfId="575" priority="19346" operator="between">
      <formula>16</formula>
      <formula>25</formula>
    </cfRule>
    <cfRule type="cellIs" dxfId="574" priority="19347" operator="between">
      <formula>10</formula>
      <formula>15</formula>
    </cfRule>
    <cfRule type="cellIs" dxfId="573" priority="19348" operator="between">
      <formula>5</formula>
      <formula>9</formula>
    </cfRule>
    <cfRule type="cellIs" dxfId="572" priority="19349" operator="between">
      <formula>0</formula>
      <formula>4</formula>
    </cfRule>
  </conditionalFormatting>
  <conditionalFormatting sqref="K1027">
    <cfRule type="cellIs" dxfId="571" priority="19331" operator="between">
      <formula>16</formula>
      <formula>25</formula>
    </cfRule>
    <cfRule type="cellIs" dxfId="570" priority="19332" operator="between">
      <formula>10</formula>
      <formula>15</formula>
    </cfRule>
    <cfRule type="cellIs" dxfId="569" priority="19333" operator="between">
      <formula>5</formula>
      <formula>9</formula>
    </cfRule>
    <cfRule type="cellIs" dxfId="568" priority="19334" operator="between">
      <formula>0</formula>
      <formula>4</formula>
    </cfRule>
  </conditionalFormatting>
  <conditionalFormatting sqref="B1027">
    <cfRule type="containsText" dxfId="567" priority="19329" operator="containsText" text="WHS">
      <formula>NOT(ISERROR(SEARCH("WHS",B1027)))</formula>
    </cfRule>
    <cfRule type="containsText" dxfId="566" priority="19330" operator="containsText" text="Environment">
      <formula>NOT(ISERROR(SEARCH("Environment",B1027)))</formula>
    </cfRule>
  </conditionalFormatting>
  <conditionalFormatting sqref="B1027">
    <cfRule type="containsText" dxfId="565" priority="19328" operator="containsText" text="Quality">
      <formula>NOT(ISERROR(SEARCH("Quality",B1027)))</formula>
    </cfRule>
  </conditionalFormatting>
  <conditionalFormatting sqref="F1027">
    <cfRule type="cellIs" dxfId="564" priority="19335" operator="between">
      <formula>16</formula>
      <formula>25</formula>
    </cfRule>
    <cfRule type="cellIs" dxfId="563" priority="19336" operator="between">
      <formula>10</formula>
      <formula>15</formula>
    </cfRule>
    <cfRule type="cellIs" dxfId="562" priority="19337" operator="between">
      <formula>5</formula>
      <formula>9</formula>
    </cfRule>
    <cfRule type="cellIs" dxfId="561" priority="19338" operator="between">
      <formula>0</formula>
      <formula>4</formula>
    </cfRule>
  </conditionalFormatting>
  <conditionalFormatting sqref="K1028">
    <cfRule type="cellIs" dxfId="560" priority="19320" operator="between">
      <formula>16</formula>
      <formula>25</formula>
    </cfRule>
    <cfRule type="cellIs" dxfId="559" priority="19321" operator="between">
      <formula>10</formula>
      <formula>15</formula>
    </cfRule>
    <cfRule type="cellIs" dxfId="558" priority="19322" operator="between">
      <formula>5</formula>
      <formula>9</formula>
    </cfRule>
    <cfRule type="cellIs" dxfId="557" priority="19323" operator="between">
      <formula>0</formula>
      <formula>4</formula>
    </cfRule>
  </conditionalFormatting>
  <conditionalFormatting sqref="B1028">
    <cfRule type="containsText" dxfId="556" priority="19318" operator="containsText" text="WHS">
      <formula>NOT(ISERROR(SEARCH("WHS",B1028)))</formula>
    </cfRule>
    <cfRule type="containsText" dxfId="555" priority="19319" operator="containsText" text="Environment">
      <formula>NOT(ISERROR(SEARCH("Environment",B1028)))</formula>
    </cfRule>
  </conditionalFormatting>
  <conditionalFormatting sqref="B1028">
    <cfRule type="containsText" dxfId="554" priority="19317" operator="containsText" text="Quality">
      <formula>NOT(ISERROR(SEARCH("Quality",B1028)))</formula>
    </cfRule>
  </conditionalFormatting>
  <conditionalFormatting sqref="F1028">
    <cfRule type="cellIs" dxfId="553" priority="19324" operator="between">
      <formula>16</formula>
      <formula>25</formula>
    </cfRule>
    <cfRule type="cellIs" dxfId="552" priority="19325" operator="between">
      <formula>10</formula>
      <formula>15</formula>
    </cfRule>
    <cfRule type="cellIs" dxfId="551" priority="19326" operator="between">
      <formula>5</formula>
      <formula>9</formula>
    </cfRule>
    <cfRule type="cellIs" dxfId="550" priority="19327" operator="between">
      <formula>0</formula>
      <formula>4</formula>
    </cfRule>
  </conditionalFormatting>
  <conditionalFormatting sqref="K1029">
    <cfRule type="cellIs" dxfId="549" priority="19309" operator="between">
      <formula>16</formula>
      <formula>25</formula>
    </cfRule>
    <cfRule type="cellIs" dxfId="548" priority="19310" operator="between">
      <formula>10</formula>
      <formula>15</formula>
    </cfRule>
    <cfRule type="cellIs" dxfId="547" priority="19311" operator="between">
      <formula>5</formula>
      <formula>9</formula>
    </cfRule>
    <cfRule type="cellIs" dxfId="546" priority="19312" operator="between">
      <formula>0</formula>
      <formula>4</formula>
    </cfRule>
  </conditionalFormatting>
  <conditionalFormatting sqref="B1029">
    <cfRule type="containsText" dxfId="545" priority="19307" operator="containsText" text="WHS">
      <formula>NOT(ISERROR(SEARCH("WHS",B1029)))</formula>
    </cfRule>
    <cfRule type="containsText" dxfId="544" priority="19308" operator="containsText" text="Environment">
      <formula>NOT(ISERROR(SEARCH("Environment",B1029)))</formula>
    </cfRule>
  </conditionalFormatting>
  <conditionalFormatting sqref="B1029">
    <cfRule type="containsText" dxfId="543" priority="19306" operator="containsText" text="Quality">
      <formula>NOT(ISERROR(SEARCH("Quality",B1029)))</formula>
    </cfRule>
  </conditionalFormatting>
  <conditionalFormatting sqref="F1029">
    <cfRule type="cellIs" dxfId="542" priority="19313" operator="between">
      <formula>16</formula>
      <formula>25</formula>
    </cfRule>
    <cfRule type="cellIs" dxfId="541" priority="19314" operator="between">
      <formula>10</formula>
      <formula>15</formula>
    </cfRule>
    <cfRule type="cellIs" dxfId="540" priority="19315" operator="between">
      <formula>5</formula>
      <formula>9</formula>
    </cfRule>
    <cfRule type="cellIs" dxfId="539" priority="19316" operator="between">
      <formula>0</formula>
      <formula>4</formula>
    </cfRule>
  </conditionalFormatting>
  <conditionalFormatting sqref="K1030">
    <cfRule type="cellIs" dxfId="538" priority="19298" operator="between">
      <formula>16</formula>
      <formula>25</formula>
    </cfRule>
    <cfRule type="cellIs" dxfId="537" priority="19299" operator="between">
      <formula>10</formula>
      <formula>15</formula>
    </cfRule>
    <cfRule type="cellIs" dxfId="536" priority="19300" operator="between">
      <formula>5</formula>
      <formula>9</formula>
    </cfRule>
    <cfRule type="cellIs" dxfId="535" priority="19301" operator="between">
      <formula>0</formula>
      <formula>4</formula>
    </cfRule>
  </conditionalFormatting>
  <conditionalFormatting sqref="B1030">
    <cfRule type="containsText" dxfId="534" priority="19296" operator="containsText" text="WHS">
      <formula>NOT(ISERROR(SEARCH("WHS",B1030)))</formula>
    </cfRule>
    <cfRule type="containsText" dxfId="533" priority="19297" operator="containsText" text="Environment">
      <formula>NOT(ISERROR(SEARCH("Environment",B1030)))</formula>
    </cfRule>
  </conditionalFormatting>
  <conditionalFormatting sqref="B1030">
    <cfRule type="containsText" dxfId="532" priority="19295" operator="containsText" text="Quality">
      <formula>NOT(ISERROR(SEARCH("Quality",B1030)))</formula>
    </cfRule>
  </conditionalFormatting>
  <conditionalFormatting sqref="F1030">
    <cfRule type="cellIs" dxfId="531" priority="19302" operator="between">
      <formula>16</formula>
      <formula>25</formula>
    </cfRule>
    <cfRule type="cellIs" dxfId="530" priority="19303" operator="between">
      <formula>10</formula>
      <formula>15</formula>
    </cfRule>
    <cfRule type="cellIs" dxfId="529" priority="19304" operator="between">
      <formula>5</formula>
      <formula>9</formula>
    </cfRule>
    <cfRule type="cellIs" dxfId="528" priority="19305" operator="between">
      <formula>0</formula>
      <formula>4</formula>
    </cfRule>
  </conditionalFormatting>
  <conditionalFormatting sqref="K1031">
    <cfRule type="cellIs" dxfId="527" priority="19287" operator="between">
      <formula>16</formula>
      <formula>25</formula>
    </cfRule>
    <cfRule type="cellIs" dxfId="526" priority="19288" operator="between">
      <formula>10</formula>
      <formula>15</formula>
    </cfRule>
    <cfRule type="cellIs" dxfId="525" priority="19289" operator="between">
      <formula>5</formula>
      <formula>9</formula>
    </cfRule>
    <cfRule type="cellIs" dxfId="524" priority="19290" operator="between">
      <formula>0</formula>
      <formula>4</formula>
    </cfRule>
  </conditionalFormatting>
  <conditionalFormatting sqref="B1031">
    <cfRule type="containsText" dxfId="523" priority="19285" operator="containsText" text="WHS">
      <formula>NOT(ISERROR(SEARCH("WHS",B1031)))</formula>
    </cfRule>
    <cfRule type="containsText" dxfId="522" priority="19286" operator="containsText" text="Environment">
      <formula>NOT(ISERROR(SEARCH("Environment",B1031)))</formula>
    </cfRule>
  </conditionalFormatting>
  <conditionalFormatting sqref="B1031">
    <cfRule type="containsText" dxfId="521" priority="19284" operator="containsText" text="Quality">
      <formula>NOT(ISERROR(SEARCH("Quality",B1031)))</formula>
    </cfRule>
  </conditionalFormatting>
  <conditionalFormatting sqref="F1031">
    <cfRule type="cellIs" dxfId="520" priority="19291" operator="between">
      <formula>16</formula>
      <formula>25</formula>
    </cfRule>
    <cfRule type="cellIs" dxfId="519" priority="19292" operator="between">
      <formula>10</formula>
      <formula>15</formula>
    </cfRule>
    <cfRule type="cellIs" dxfId="518" priority="19293" operator="between">
      <formula>5</formula>
      <formula>9</formula>
    </cfRule>
    <cfRule type="cellIs" dxfId="517" priority="19294" operator="between">
      <formula>0</formula>
      <formula>4</formula>
    </cfRule>
  </conditionalFormatting>
  <conditionalFormatting sqref="K1032">
    <cfRule type="cellIs" dxfId="516" priority="19276" operator="between">
      <formula>16</formula>
      <formula>25</formula>
    </cfRule>
    <cfRule type="cellIs" dxfId="515" priority="19277" operator="between">
      <formula>10</formula>
      <formula>15</formula>
    </cfRule>
    <cfRule type="cellIs" dxfId="514" priority="19278" operator="between">
      <formula>5</formula>
      <formula>9</formula>
    </cfRule>
    <cfRule type="cellIs" dxfId="513" priority="19279" operator="between">
      <formula>0</formula>
      <formula>4</formula>
    </cfRule>
  </conditionalFormatting>
  <conditionalFormatting sqref="B1032">
    <cfRule type="containsText" dxfId="512" priority="19274" operator="containsText" text="WHS">
      <formula>NOT(ISERROR(SEARCH("WHS",B1032)))</formula>
    </cfRule>
    <cfRule type="containsText" dxfId="511" priority="19275" operator="containsText" text="Environment">
      <formula>NOT(ISERROR(SEARCH("Environment",B1032)))</formula>
    </cfRule>
  </conditionalFormatting>
  <conditionalFormatting sqref="B1032">
    <cfRule type="containsText" dxfId="510" priority="19273" operator="containsText" text="Quality">
      <formula>NOT(ISERROR(SEARCH("Quality",B1032)))</formula>
    </cfRule>
  </conditionalFormatting>
  <conditionalFormatting sqref="F1032">
    <cfRule type="cellIs" dxfId="509" priority="19280" operator="between">
      <formula>16</formula>
      <formula>25</formula>
    </cfRule>
    <cfRule type="cellIs" dxfId="508" priority="19281" operator="between">
      <formula>10</formula>
      <formula>15</formula>
    </cfRule>
    <cfRule type="cellIs" dxfId="507" priority="19282" operator="between">
      <formula>5</formula>
      <formula>9</formula>
    </cfRule>
    <cfRule type="cellIs" dxfId="506" priority="19283" operator="between">
      <formula>0</formula>
      <formula>4</formula>
    </cfRule>
  </conditionalFormatting>
  <conditionalFormatting sqref="K1033">
    <cfRule type="cellIs" dxfId="505" priority="19265" operator="between">
      <formula>16</formula>
      <formula>25</formula>
    </cfRule>
    <cfRule type="cellIs" dxfId="504" priority="19266" operator="between">
      <formula>10</formula>
      <formula>15</formula>
    </cfRule>
    <cfRule type="cellIs" dxfId="503" priority="19267" operator="between">
      <formula>5</formula>
      <formula>9</formula>
    </cfRule>
    <cfRule type="cellIs" dxfId="502" priority="19268" operator="between">
      <formula>0</formula>
      <formula>4</formula>
    </cfRule>
  </conditionalFormatting>
  <conditionalFormatting sqref="B1033">
    <cfRule type="containsText" dxfId="501" priority="19263" operator="containsText" text="WHS">
      <formula>NOT(ISERROR(SEARCH("WHS",B1033)))</formula>
    </cfRule>
    <cfRule type="containsText" dxfId="500" priority="19264" operator="containsText" text="Environment">
      <formula>NOT(ISERROR(SEARCH("Environment",B1033)))</formula>
    </cfRule>
  </conditionalFormatting>
  <conditionalFormatting sqref="B1033">
    <cfRule type="containsText" dxfId="499" priority="19262" operator="containsText" text="Quality">
      <formula>NOT(ISERROR(SEARCH("Quality",B1033)))</formula>
    </cfRule>
  </conditionalFormatting>
  <conditionalFormatting sqref="F1033">
    <cfRule type="cellIs" dxfId="498" priority="19269" operator="between">
      <formula>16</formula>
      <formula>25</formula>
    </cfRule>
    <cfRule type="cellIs" dxfId="497" priority="19270" operator="between">
      <formula>10</formula>
      <formula>15</formula>
    </cfRule>
    <cfRule type="cellIs" dxfId="496" priority="19271" operator="between">
      <formula>5</formula>
      <formula>9</formula>
    </cfRule>
    <cfRule type="cellIs" dxfId="495" priority="19272" operator="between">
      <formula>0</formula>
      <formula>4</formula>
    </cfRule>
  </conditionalFormatting>
  <conditionalFormatting sqref="K1034">
    <cfRule type="cellIs" dxfId="494" priority="19254" operator="between">
      <formula>16</formula>
      <formula>25</formula>
    </cfRule>
    <cfRule type="cellIs" dxfId="493" priority="19255" operator="between">
      <formula>10</formula>
      <formula>15</formula>
    </cfRule>
    <cfRule type="cellIs" dxfId="492" priority="19256" operator="between">
      <formula>5</formula>
      <formula>9</formula>
    </cfRule>
    <cfRule type="cellIs" dxfId="491" priority="19257" operator="between">
      <formula>0</formula>
      <formula>4</formula>
    </cfRule>
  </conditionalFormatting>
  <conditionalFormatting sqref="B1034">
    <cfRule type="containsText" dxfId="490" priority="19252" operator="containsText" text="WHS">
      <formula>NOT(ISERROR(SEARCH("WHS",B1034)))</formula>
    </cfRule>
    <cfRule type="containsText" dxfId="489" priority="19253" operator="containsText" text="Environment">
      <formula>NOT(ISERROR(SEARCH("Environment",B1034)))</formula>
    </cfRule>
  </conditionalFormatting>
  <conditionalFormatting sqref="B1034">
    <cfRule type="containsText" dxfId="488" priority="19251" operator="containsText" text="Quality">
      <formula>NOT(ISERROR(SEARCH("Quality",B1034)))</formula>
    </cfRule>
  </conditionalFormatting>
  <conditionalFormatting sqref="F1034">
    <cfRule type="cellIs" dxfId="487" priority="19258" operator="between">
      <formula>16</formula>
      <formula>25</formula>
    </cfRule>
    <cfRule type="cellIs" dxfId="486" priority="19259" operator="between">
      <formula>10</formula>
      <formula>15</formula>
    </cfRule>
    <cfRule type="cellIs" dxfId="485" priority="19260" operator="between">
      <formula>5</formula>
      <formula>9</formula>
    </cfRule>
    <cfRule type="cellIs" dxfId="484" priority="19261" operator="between">
      <formula>0</formula>
      <formula>4</formula>
    </cfRule>
  </conditionalFormatting>
  <conditionalFormatting sqref="K1035">
    <cfRule type="cellIs" dxfId="483" priority="19243" operator="between">
      <formula>16</formula>
      <formula>25</formula>
    </cfRule>
    <cfRule type="cellIs" dxfId="482" priority="19244" operator="between">
      <formula>10</formula>
      <formula>15</formula>
    </cfRule>
    <cfRule type="cellIs" dxfId="481" priority="19245" operator="between">
      <formula>5</formula>
      <formula>9</formula>
    </cfRule>
    <cfRule type="cellIs" dxfId="480" priority="19246" operator="between">
      <formula>0</formula>
      <formula>4</formula>
    </cfRule>
  </conditionalFormatting>
  <conditionalFormatting sqref="B1035">
    <cfRule type="containsText" dxfId="479" priority="19241" operator="containsText" text="WHS">
      <formula>NOT(ISERROR(SEARCH("WHS",B1035)))</formula>
    </cfRule>
    <cfRule type="containsText" dxfId="478" priority="19242" operator="containsText" text="Environment">
      <formula>NOT(ISERROR(SEARCH("Environment",B1035)))</formula>
    </cfRule>
  </conditionalFormatting>
  <conditionalFormatting sqref="B1035">
    <cfRule type="containsText" dxfId="477" priority="19240" operator="containsText" text="Quality">
      <formula>NOT(ISERROR(SEARCH("Quality",B1035)))</formula>
    </cfRule>
  </conditionalFormatting>
  <conditionalFormatting sqref="F1035">
    <cfRule type="cellIs" dxfId="476" priority="19247" operator="between">
      <formula>16</formula>
      <formula>25</formula>
    </cfRule>
    <cfRule type="cellIs" dxfId="475" priority="19248" operator="between">
      <formula>10</formula>
      <formula>15</formula>
    </cfRule>
    <cfRule type="cellIs" dxfId="474" priority="19249" operator="between">
      <formula>5</formula>
      <formula>9</formula>
    </cfRule>
    <cfRule type="cellIs" dxfId="473" priority="19250" operator="between">
      <formula>0</formula>
      <formula>4</formula>
    </cfRule>
  </conditionalFormatting>
  <conditionalFormatting sqref="K1036">
    <cfRule type="cellIs" dxfId="472" priority="19232" operator="between">
      <formula>16</formula>
      <formula>25</formula>
    </cfRule>
    <cfRule type="cellIs" dxfId="471" priority="19233" operator="between">
      <formula>10</formula>
      <formula>15</formula>
    </cfRule>
    <cfRule type="cellIs" dxfId="470" priority="19234" operator="between">
      <formula>5</formula>
      <formula>9</formula>
    </cfRule>
    <cfRule type="cellIs" dxfId="469" priority="19235" operator="between">
      <formula>0</formula>
      <formula>4</formula>
    </cfRule>
  </conditionalFormatting>
  <conditionalFormatting sqref="B1036">
    <cfRule type="containsText" dxfId="468" priority="19230" operator="containsText" text="WHS">
      <formula>NOT(ISERROR(SEARCH("WHS",B1036)))</formula>
    </cfRule>
    <cfRule type="containsText" dxfId="467" priority="19231" operator="containsText" text="Environment">
      <formula>NOT(ISERROR(SEARCH("Environment",B1036)))</formula>
    </cfRule>
  </conditionalFormatting>
  <conditionalFormatting sqref="B1036">
    <cfRule type="containsText" dxfId="466" priority="19229" operator="containsText" text="Quality">
      <formula>NOT(ISERROR(SEARCH("Quality",B1036)))</formula>
    </cfRule>
  </conditionalFormatting>
  <conditionalFormatting sqref="F1036">
    <cfRule type="cellIs" dxfId="465" priority="19236" operator="between">
      <formula>16</formula>
      <formula>25</formula>
    </cfRule>
    <cfRule type="cellIs" dxfId="464" priority="19237" operator="between">
      <formula>10</formula>
      <formula>15</formula>
    </cfRule>
    <cfRule type="cellIs" dxfId="463" priority="19238" operator="between">
      <formula>5</formula>
      <formula>9</formula>
    </cfRule>
    <cfRule type="cellIs" dxfId="462" priority="19239" operator="between">
      <formula>0</formula>
      <formula>4</formula>
    </cfRule>
  </conditionalFormatting>
  <conditionalFormatting sqref="K1037">
    <cfRule type="cellIs" dxfId="461" priority="19221" operator="between">
      <formula>16</formula>
      <formula>25</formula>
    </cfRule>
    <cfRule type="cellIs" dxfId="460" priority="19222" operator="between">
      <formula>10</formula>
      <formula>15</formula>
    </cfRule>
    <cfRule type="cellIs" dxfId="459" priority="19223" operator="between">
      <formula>5</formula>
      <formula>9</formula>
    </cfRule>
    <cfRule type="cellIs" dxfId="458" priority="19224" operator="between">
      <formula>0</formula>
      <formula>4</formula>
    </cfRule>
  </conditionalFormatting>
  <conditionalFormatting sqref="B1037">
    <cfRule type="containsText" dxfId="457" priority="19219" operator="containsText" text="WHS">
      <formula>NOT(ISERROR(SEARCH("WHS",B1037)))</formula>
    </cfRule>
    <cfRule type="containsText" dxfId="456" priority="19220" operator="containsText" text="Environment">
      <formula>NOT(ISERROR(SEARCH("Environment",B1037)))</formula>
    </cfRule>
  </conditionalFormatting>
  <conditionalFormatting sqref="B1037">
    <cfRule type="containsText" dxfId="455" priority="19218" operator="containsText" text="Quality">
      <formula>NOT(ISERROR(SEARCH("Quality",B1037)))</formula>
    </cfRule>
  </conditionalFormatting>
  <conditionalFormatting sqref="F1037">
    <cfRule type="cellIs" dxfId="454" priority="19225" operator="between">
      <formula>16</formula>
      <formula>25</formula>
    </cfRule>
    <cfRule type="cellIs" dxfId="453" priority="19226" operator="between">
      <formula>10</formula>
      <formula>15</formula>
    </cfRule>
    <cfRule type="cellIs" dxfId="452" priority="19227" operator="between">
      <formula>5</formula>
      <formula>9</formula>
    </cfRule>
    <cfRule type="cellIs" dxfId="451" priority="19228" operator="between">
      <formula>0</formula>
      <formula>4</formula>
    </cfRule>
  </conditionalFormatting>
  <conditionalFormatting sqref="K1038">
    <cfRule type="cellIs" dxfId="450" priority="19210" operator="between">
      <formula>16</formula>
      <formula>25</formula>
    </cfRule>
    <cfRule type="cellIs" dxfId="449" priority="19211" operator="between">
      <formula>10</formula>
      <formula>15</formula>
    </cfRule>
    <cfRule type="cellIs" dxfId="448" priority="19212" operator="between">
      <formula>5</formula>
      <formula>9</formula>
    </cfRule>
    <cfRule type="cellIs" dxfId="447" priority="19213" operator="between">
      <formula>0</formula>
      <formula>4</formula>
    </cfRule>
  </conditionalFormatting>
  <conditionalFormatting sqref="B1038">
    <cfRule type="containsText" dxfId="446" priority="19208" operator="containsText" text="WHS">
      <formula>NOT(ISERROR(SEARCH("WHS",B1038)))</formula>
    </cfRule>
    <cfRule type="containsText" dxfId="445" priority="19209" operator="containsText" text="Environment">
      <formula>NOT(ISERROR(SEARCH("Environment",B1038)))</formula>
    </cfRule>
  </conditionalFormatting>
  <conditionalFormatting sqref="B1038">
    <cfRule type="containsText" dxfId="444" priority="19207" operator="containsText" text="Quality">
      <formula>NOT(ISERROR(SEARCH("Quality",B1038)))</formula>
    </cfRule>
  </conditionalFormatting>
  <conditionalFormatting sqref="F1038">
    <cfRule type="cellIs" dxfId="443" priority="19214" operator="between">
      <formula>16</formula>
      <formula>25</formula>
    </cfRule>
    <cfRule type="cellIs" dxfId="442" priority="19215" operator="between">
      <formula>10</formula>
      <formula>15</formula>
    </cfRule>
    <cfRule type="cellIs" dxfId="441" priority="19216" operator="between">
      <formula>5</formula>
      <formula>9</formula>
    </cfRule>
    <cfRule type="cellIs" dxfId="440" priority="19217" operator="between">
      <formula>0</formula>
      <formula>4</formula>
    </cfRule>
  </conditionalFormatting>
  <conditionalFormatting sqref="K1039">
    <cfRule type="cellIs" dxfId="439" priority="19199" operator="between">
      <formula>16</formula>
      <formula>25</formula>
    </cfRule>
    <cfRule type="cellIs" dxfId="438" priority="19200" operator="between">
      <formula>10</formula>
      <formula>15</formula>
    </cfRule>
    <cfRule type="cellIs" dxfId="437" priority="19201" operator="between">
      <formula>5</formula>
      <formula>9</formula>
    </cfRule>
    <cfRule type="cellIs" dxfId="436" priority="19202" operator="between">
      <formula>0</formula>
      <formula>4</formula>
    </cfRule>
  </conditionalFormatting>
  <conditionalFormatting sqref="B1039">
    <cfRule type="containsText" dxfId="435" priority="19197" operator="containsText" text="WHS">
      <formula>NOT(ISERROR(SEARCH("WHS",B1039)))</formula>
    </cfRule>
    <cfRule type="containsText" dxfId="434" priority="19198" operator="containsText" text="Environment">
      <formula>NOT(ISERROR(SEARCH("Environment",B1039)))</formula>
    </cfRule>
  </conditionalFormatting>
  <conditionalFormatting sqref="B1039">
    <cfRule type="containsText" dxfId="433" priority="19196" operator="containsText" text="Quality">
      <formula>NOT(ISERROR(SEARCH("Quality",B1039)))</formula>
    </cfRule>
  </conditionalFormatting>
  <conditionalFormatting sqref="F1039">
    <cfRule type="cellIs" dxfId="432" priority="19203" operator="between">
      <formula>16</formula>
      <formula>25</formula>
    </cfRule>
    <cfRule type="cellIs" dxfId="431" priority="19204" operator="between">
      <formula>10</formula>
      <formula>15</formula>
    </cfRule>
    <cfRule type="cellIs" dxfId="430" priority="19205" operator="between">
      <formula>5</formula>
      <formula>9</formula>
    </cfRule>
    <cfRule type="cellIs" dxfId="429" priority="19206" operator="between">
      <formula>0</formula>
      <formula>4</formula>
    </cfRule>
  </conditionalFormatting>
  <conditionalFormatting sqref="K1040">
    <cfRule type="cellIs" dxfId="428" priority="19188" operator="between">
      <formula>16</formula>
      <formula>25</formula>
    </cfRule>
    <cfRule type="cellIs" dxfId="427" priority="19189" operator="between">
      <formula>10</formula>
      <formula>15</formula>
    </cfRule>
    <cfRule type="cellIs" dxfId="426" priority="19190" operator="between">
      <formula>5</formula>
      <formula>9</formula>
    </cfRule>
    <cfRule type="cellIs" dxfId="425" priority="19191" operator="between">
      <formula>0</formula>
      <formula>4</formula>
    </cfRule>
  </conditionalFormatting>
  <conditionalFormatting sqref="B1040">
    <cfRule type="containsText" dxfId="424" priority="19186" operator="containsText" text="WHS">
      <formula>NOT(ISERROR(SEARCH("WHS",B1040)))</formula>
    </cfRule>
    <cfRule type="containsText" dxfId="423" priority="19187" operator="containsText" text="Environment">
      <formula>NOT(ISERROR(SEARCH("Environment",B1040)))</formula>
    </cfRule>
  </conditionalFormatting>
  <conditionalFormatting sqref="B1040">
    <cfRule type="containsText" dxfId="422" priority="19185" operator="containsText" text="Quality">
      <formula>NOT(ISERROR(SEARCH("Quality",B1040)))</formula>
    </cfRule>
  </conditionalFormatting>
  <conditionalFormatting sqref="F1040">
    <cfRule type="cellIs" dxfId="421" priority="19192" operator="between">
      <formula>16</formula>
      <formula>25</formula>
    </cfRule>
    <cfRule type="cellIs" dxfId="420" priority="19193" operator="between">
      <formula>10</formula>
      <formula>15</formula>
    </cfRule>
    <cfRule type="cellIs" dxfId="419" priority="19194" operator="between">
      <formula>5</formula>
      <formula>9</formula>
    </cfRule>
    <cfRule type="cellIs" dxfId="418" priority="19195" operator="between">
      <formula>0</formula>
      <formula>4</formula>
    </cfRule>
  </conditionalFormatting>
  <conditionalFormatting sqref="K1041">
    <cfRule type="cellIs" dxfId="417" priority="19177" operator="between">
      <formula>16</formula>
      <formula>25</formula>
    </cfRule>
    <cfRule type="cellIs" dxfId="416" priority="19178" operator="between">
      <formula>10</formula>
      <formula>15</formula>
    </cfRule>
    <cfRule type="cellIs" dxfId="415" priority="19179" operator="between">
      <formula>5</formula>
      <formula>9</formula>
    </cfRule>
    <cfRule type="cellIs" dxfId="414" priority="19180" operator="between">
      <formula>0</formula>
      <formula>4</formula>
    </cfRule>
  </conditionalFormatting>
  <conditionalFormatting sqref="B1041">
    <cfRule type="containsText" dxfId="413" priority="19175" operator="containsText" text="WHS">
      <formula>NOT(ISERROR(SEARCH("WHS",B1041)))</formula>
    </cfRule>
    <cfRule type="containsText" dxfId="412" priority="19176" operator="containsText" text="Environment">
      <formula>NOT(ISERROR(SEARCH("Environment",B1041)))</formula>
    </cfRule>
  </conditionalFormatting>
  <conditionalFormatting sqref="B1041">
    <cfRule type="containsText" dxfId="411" priority="19174" operator="containsText" text="Quality">
      <formula>NOT(ISERROR(SEARCH("Quality",B1041)))</formula>
    </cfRule>
  </conditionalFormatting>
  <conditionalFormatting sqref="F1041">
    <cfRule type="cellIs" dxfId="410" priority="19181" operator="between">
      <formula>16</formula>
      <formula>25</formula>
    </cfRule>
    <cfRule type="cellIs" dxfId="409" priority="19182" operator="between">
      <formula>10</formula>
      <formula>15</formula>
    </cfRule>
    <cfRule type="cellIs" dxfId="408" priority="19183" operator="between">
      <formula>5</formula>
      <formula>9</formula>
    </cfRule>
    <cfRule type="cellIs" dxfId="407" priority="19184" operator="between">
      <formula>0</formula>
      <formula>4</formula>
    </cfRule>
  </conditionalFormatting>
  <conditionalFormatting sqref="K1042">
    <cfRule type="cellIs" dxfId="406" priority="19166" operator="between">
      <formula>16</formula>
      <formula>25</formula>
    </cfRule>
    <cfRule type="cellIs" dxfId="405" priority="19167" operator="between">
      <formula>10</formula>
      <formula>15</formula>
    </cfRule>
    <cfRule type="cellIs" dxfId="404" priority="19168" operator="between">
      <formula>5</formula>
      <formula>9</formula>
    </cfRule>
    <cfRule type="cellIs" dxfId="403" priority="19169" operator="between">
      <formula>0</formula>
      <formula>4</formula>
    </cfRule>
  </conditionalFormatting>
  <conditionalFormatting sqref="B1042">
    <cfRule type="containsText" dxfId="402" priority="19164" operator="containsText" text="WHS">
      <formula>NOT(ISERROR(SEARCH("WHS",B1042)))</formula>
    </cfRule>
    <cfRule type="containsText" dxfId="401" priority="19165" operator="containsText" text="Environment">
      <formula>NOT(ISERROR(SEARCH("Environment",B1042)))</formula>
    </cfRule>
  </conditionalFormatting>
  <conditionalFormatting sqref="B1042">
    <cfRule type="containsText" dxfId="400" priority="19163" operator="containsText" text="Quality">
      <formula>NOT(ISERROR(SEARCH("Quality",B1042)))</formula>
    </cfRule>
  </conditionalFormatting>
  <conditionalFormatting sqref="F1042">
    <cfRule type="cellIs" dxfId="399" priority="19170" operator="between">
      <formula>16</formula>
      <formula>25</formula>
    </cfRule>
    <cfRule type="cellIs" dxfId="398" priority="19171" operator="between">
      <formula>10</formula>
      <formula>15</formula>
    </cfRule>
    <cfRule type="cellIs" dxfId="397" priority="19172" operator="between">
      <formula>5</formula>
      <formula>9</formula>
    </cfRule>
    <cfRule type="cellIs" dxfId="396" priority="19173" operator="between">
      <formula>0</formula>
      <formula>4</formula>
    </cfRule>
  </conditionalFormatting>
  <conditionalFormatting sqref="K1043">
    <cfRule type="cellIs" dxfId="395" priority="19155" operator="between">
      <formula>16</formula>
      <formula>25</formula>
    </cfRule>
    <cfRule type="cellIs" dxfId="394" priority="19156" operator="between">
      <formula>10</formula>
      <formula>15</formula>
    </cfRule>
    <cfRule type="cellIs" dxfId="393" priority="19157" operator="between">
      <formula>5</formula>
      <formula>9</formula>
    </cfRule>
    <cfRule type="cellIs" dxfId="392" priority="19158" operator="between">
      <formula>0</formula>
      <formula>4</formula>
    </cfRule>
  </conditionalFormatting>
  <conditionalFormatting sqref="B1043">
    <cfRule type="containsText" dxfId="391" priority="19153" operator="containsText" text="WHS">
      <formula>NOT(ISERROR(SEARCH("WHS",B1043)))</formula>
    </cfRule>
    <cfRule type="containsText" dxfId="390" priority="19154" operator="containsText" text="Environment">
      <formula>NOT(ISERROR(SEARCH("Environment",B1043)))</formula>
    </cfRule>
  </conditionalFormatting>
  <conditionalFormatting sqref="B1043">
    <cfRule type="containsText" dxfId="389" priority="19152" operator="containsText" text="Quality">
      <formula>NOT(ISERROR(SEARCH("Quality",B1043)))</formula>
    </cfRule>
  </conditionalFormatting>
  <conditionalFormatting sqref="F1043">
    <cfRule type="cellIs" dxfId="388" priority="19159" operator="between">
      <formula>16</formula>
      <formula>25</formula>
    </cfRule>
    <cfRule type="cellIs" dxfId="387" priority="19160" operator="between">
      <formula>10</formula>
      <formula>15</formula>
    </cfRule>
    <cfRule type="cellIs" dxfId="386" priority="19161" operator="between">
      <formula>5</formula>
      <formula>9</formula>
    </cfRule>
    <cfRule type="cellIs" dxfId="385" priority="19162" operator="between">
      <formula>0</formula>
      <formula>4</formula>
    </cfRule>
  </conditionalFormatting>
  <conditionalFormatting sqref="K1044">
    <cfRule type="cellIs" dxfId="384" priority="19144" operator="between">
      <formula>16</formula>
      <formula>25</formula>
    </cfRule>
    <cfRule type="cellIs" dxfId="383" priority="19145" operator="between">
      <formula>10</formula>
      <formula>15</formula>
    </cfRule>
    <cfRule type="cellIs" dxfId="382" priority="19146" operator="between">
      <formula>5</formula>
      <formula>9</formula>
    </cfRule>
    <cfRule type="cellIs" dxfId="381" priority="19147" operator="between">
      <formula>0</formula>
      <formula>4</formula>
    </cfRule>
  </conditionalFormatting>
  <conditionalFormatting sqref="B1044">
    <cfRule type="containsText" dxfId="380" priority="19142" operator="containsText" text="WHS">
      <formula>NOT(ISERROR(SEARCH("WHS",B1044)))</formula>
    </cfRule>
    <cfRule type="containsText" dxfId="379" priority="19143" operator="containsText" text="Environment">
      <formula>NOT(ISERROR(SEARCH("Environment",B1044)))</formula>
    </cfRule>
  </conditionalFormatting>
  <conditionalFormatting sqref="B1044">
    <cfRule type="containsText" dxfId="378" priority="19141" operator="containsText" text="Quality">
      <formula>NOT(ISERROR(SEARCH("Quality",B1044)))</formula>
    </cfRule>
  </conditionalFormatting>
  <conditionalFormatting sqref="F1044">
    <cfRule type="cellIs" dxfId="377" priority="19148" operator="between">
      <formula>16</formula>
      <formula>25</formula>
    </cfRule>
    <cfRule type="cellIs" dxfId="376" priority="19149" operator="between">
      <formula>10</formula>
      <formula>15</formula>
    </cfRule>
    <cfRule type="cellIs" dxfId="375" priority="19150" operator="between">
      <formula>5</formula>
      <formula>9</formula>
    </cfRule>
    <cfRule type="cellIs" dxfId="374" priority="19151" operator="between">
      <formula>0</formula>
      <formula>4</formula>
    </cfRule>
  </conditionalFormatting>
  <conditionalFormatting sqref="K1045">
    <cfRule type="cellIs" dxfId="373" priority="19133" operator="between">
      <formula>16</formula>
      <formula>25</formula>
    </cfRule>
    <cfRule type="cellIs" dxfId="372" priority="19134" operator="between">
      <formula>10</formula>
      <formula>15</formula>
    </cfRule>
    <cfRule type="cellIs" dxfId="371" priority="19135" operator="between">
      <formula>5</formula>
      <formula>9</formula>
    </cfRule>
    <cfRule type="cellIs" dxfId="370" priority="19136" operator="between">
      <formula>0</formula>
      <formula>4</formula>
    </cfRule>
  </conditionalFormatting>
  <conditionalFormatting sqref="B1045">
    <cfRule type="containsText" dxfId="369" priority="19131" operator="containsText" text="WHS">
      <formula>NOT(ISERROR(SEARCH("WHS",B1045)))</formula>
    </cfRule>
    <cfRule type="containsText" dxfId="368" priority="19132" operator="containsText" text="Environment">
      <formula>NOT(ISERROR(SEARCH("Environment",B1045)))</formula>
    </cfRule>
  </conditionalFormatting>
  <conditionalFormatting sqref="B1045">
    <cfRule type="containsText" dxfId="367" priority="19130" operator="containsText" text="Quality">
      <formula>NOT(ISERROR(SEARCH("Quality",B1045)))</formula>
    </cfRule>
  </conditionalFormatting>
  <conditionalFormatting sqref="F1045">
    <cfRule type="cellIs" dxfId="366" priority="19137" operator="between">
      <formula>16</formula>
      <formula>25</formula>
    </cfRule>
    <cfRule type="cellIs" dxfId="365" priority="19138" operator="between">
      <formula>10</formula>
      <formula>15</formula>
    </cfRule>
    <cfRule type="cellIs" dxfId="364" priority="19139" operator="between">
      <formula>5</formula>
      <formula>9</formula>
    </cfRule>
    <cfRule type="cellIs" dxfId="363" priority="19140" operator="between">
      <formula>0</formula>
      <formula>4</formula>
    </cfRule>
  </conditionalFormatting>
  <conditionalFormatting sqref="K1046">
    <cfRule type="cellIs" dxfId="362" priority="19122" operator="between">
      <formula>16</formula>
      <formula>25</formula>
    </cfRule>
    <cfRule type="cellIs" dxfId="361" priority="19123" operator="between">
      <formula>10</formula>
      <formula>15</formula>
    </cfRule>
    <cfRule type="cellIs" dxfId="360" priority="19124" operator="between">
      <formula>5</formula>
      <formula>9</formula>
    </cfRule>
    <cfRule type="cellIs" dxfId="359" priority="19125" operator="between">
      <formula>0</formula>
      <formula>4</formula>
    </cfRule>
  </conditionalFormatting>
  <conditionalFormatting sqref="B1046">
    <cfRule type="containsText" dxfId="358" priority="19120" operator="containsText" text="WHS">
      <formula>NOT(ISERROR(SEARCH("WHS",B1046)))</formula>
    </cfRule>
    <cfRule type="containsText" dxfId="357" priority="19121" operator="containsText" text="Environment">
      <formula>NOT(ISERROR(SEARCH("Environment",B1046)))</formula>
    </cfRule>
  </conditionalFormatting>
  <conditionalFormatting sqref="B1046">
    <cfRule type="containsText" dxfId="356" priority="19119" operator="containsText" text="Quality">
      <formula>NOT(ISERROR(SEARCH("Quality",B1046)))</formula>
    </cfRule>
  </conditionalFormatting>
  <conditionalFormatting sqref="F1046">
    <cfRule type="cellIs" dxfId="355" priority="19126" operator="between">
      <formula>16</formula>
      <formula>25</formula>
    </cfRule>
    <cfRule type="cellIs" dxfId="354" priority="19127" operator="between">
      <formula>10</formula>
      <formula>15</formula>
    </cfRule>
    <cfRule type="cellIs" dxfId="353" priority="19128" operator="between">
      <formula>5</formula>
      <formula>9</formula>
    </cfRule>
    <cfRule type="cellIs" dxfId="352" priority="19129" operator="between">
      <formula>0</formula>
      <formula>4</formula>
    </cfRule>
  </conditionalFormatting>
  <conditionalFormatting sqref="K1047">
    <cfRule type="cellIs" dxfId="351" priority="19111" operator="between">
      <formula>16</formula>
      <formula>25</formula>
    </cfRule>
    <cfRule type="cellIs" dxfId="350" priority="19112" operator="between">
      <formula>10</formula>
      <formula>15</formula>
    </cfRule>
    <cfRule type="cellIs" dxfId="349" priority="19113" operator="between">
      <formula>5</formula>
      <formula>9</formula>
    </cfRule>
    <cfRule type="cellIs" dxfId="348" priority="19114" operator="between">
      <formula>0</formula>
      <formula>4</formula>
    </cfRule>
  </conditionalFormatting>
  <conditionalFormatting sqref="B1047">
    <cfRule type="containsText" dxfId="347" priority="19109" operator="containsText" text="WHS">
      <formula>NOT(ISERROR(SEARCH("WHS",B1047)))</formula>
    </cfRule>
    <cfRule type="containsText" dxfId="346" priority="19110" operator="containsText" text="Environment">
      <formula>NOT(ISERROR(SEARCH("Environment",B1047)))</formula>
    </cfRule>
  </conditionalFormatting>
  <conditionalFormatting sqref="B1047">
    <cfRule type="containsText" dxfId="345" priority="19108" operator="containsText" text="Quality">
      <formula>NOT(ISERROR(SEARCH("Quality",B1047)))</formula>
    </cfRule>
  </conditionalFormatting>
  <conditionalFormatting sqref="F1047">
    <cfRule type="cellIs" dxfId="344" priority="19115" operator="between">
      <formula>16</formula>
      <formula>25</formula>
    </cfRule>
    <cfRule type="cellIs" dxfId="343" priority="19116" operator="between">
      <formula>10</formula>
      <formula>15</formula>
    </cfRule>
    <cfRule type="cellIs" dxfId="342" priority="19117" operator="between">
      <formula>5</formula>
      <formula>9</formula>
    </cfRule>
    <cfRule type="cellIs" dxfId="341" priority="19118" operator="between">
      <formula>0</formula>
      <formula>4</formula>
    </cfRule>
  </conditionalFormatting>
  <conditionalFormatting sqref="K1048">
    <cfRule type="cellIs" dxfId="340" priority="19100" operator="between">
      <formula>16</formula>
      <formula>25</formula>
    </cfRule>
    <cfRule type="cellIs" dxfId="339" priority="19101" operator="between">
      <formula>10</formula>
      <formula>15</formula>
    </cfRule>
    <cfRule type="cellIs" dxfId="338" priority="19102" operator="between">
      <formula>5</formula>
      <formula>9</formula>
    </cfRule>
    <cfRule type="cellIs" dxfId="337" priority="19103" operator="between">
      <formula>0</formula>
      <formula>4</formula>
    </cfRule>
  </conditionalFormatting>
  <conditionalFormatting sqref="B1048">
    <cfRule type="containsText" dxfId="336" priority="19098" operator="containsText" text="WHS">
      <formula>NOT(ISERROR(SEARCH("WHS",B1048)))</formula>
    </cfRule>
    <cfRule type="containsText" dxfId="335" priority="19099" operator="containsText" text="Environment">
      <formula>NOT(ISERROR(SEARCH("Environment",B1048)))</formula>
    </cfRule>
  </conditionalFormatting>
  <conditionalFormatting sqref="B1048">
    <cfRule type="containsText" dxfId="334" priority="19097" operator="containsText" text="Quality">
      <formula>NOT(ISERROR(SEARCH("Quality",B1048)))</formula>
    </cfRule>
  </conditionalFormatting>
  <conditionalFormatting sqref="F1048">
    <cfRule type="cellIs" dxfId="333" priority="19104" operator="between">
      <formula>16</formula>
      <formula>25</formula>
    </cfRule>
    <cfRule type="cellIs" dxfId="332" priority="19105" operator="between">
      <formula>10</formula>
      <formula>15</formula>
    </cfRule>
    <cfRule type="cellIs" dxfId="331" priority="19106" operator="between">
      <formula>5</formula>
      <formula>9</formula>
    </cfRule>
    <cfRule type="cellIs" dxfId="330" priority="19107" operator="between">
      <formula>0</formula>
      <formula>4</formula>
    </cfRule>
  </conditionalFormatting>
  <conditionalFormatting sqref="K1049">
    <cfRule type="cellIs" dxfId="329" priority="19089" operator="between">
      <formula>16</formula>
      <formula>25</formula>
    </cfRule>
    <cfRule type="cellIs" dxfId="328" priority="19090" operator="between">
      <formula>10</formula>
      <formula>15</formula>
    </cfRule>
    <cfRule type="cellIs" dxfId="327" priority="19091" operator="between">
      <formula>5</formula>
      <formula>9</formula>
    </cfRule>
    <cfRule type="cellIs" dxfId="326" priority="19092" operator="between">
      <formula>0</formula>
      <formula>4</formula>
    </cfRule>
  </conditionalFormatting>
  <conditionalFormatting sqref="B1049">
    <cfRule type="containsText" dxfId="325" priority="19087" operator="containsText" text="WHS">
      <formula>NOT(ISERROR(SEARCH("WHS",B1049)))</formula>
    </cfRule>
    <cfRule type="containsText" dxfId="324" priority="19088" operator="containsText" text="Environment">
      <formula>NOT(ISERROR(SEARCH("Environment",B1049)))</formula>
    </cfRule>
  </conditionalFormatting>
  <conditionalFormatting sqref="B1049">
    <cfRule type="containsText" dxfId="323" priority="19086" operator="containsText" text="Quality">
      <formula>NOT(ISERROR(SEARCH("Quality",B1049)))</formula>
    </cfRule>
  </conditionalFormatting>
  <conditionalFormatting sqref="F1049">
    <cfRule type="cellIs" dxfId="322" priority="19093" operator="between">
      <formula>16</formula>
      <formula>25</formula>
    </cfRule>
    <cfRule type="cellIs" dxfId="321" priority="19094" operator="between">
      <formula>10</formula>
      <formula>15</formula>
    </cfRule>
    <cfRule type="cellIs" dxfId="320" priority="19095" operator="between">
      <formula>5</formula>
      <formula>9</formula>
    </cfRule>
    <cfRule type="cellIs" dxfId="319" priority="19096" operator="between">
      <formula>0</formula>
      <formula>4</formula>
    </cfRule>
  </conditionalFormatting>
  <conditionalFormatting sqref="K1050">
    <cfRule type="cellIs" dxfId="318" priority="19078" operator="between">
      <formula>16</formula>
      <formula>25</formula>
    </cfRule>
    <cfRule type="cellIs" dxfId="317" priority="19079" operator="between">
      <formula>10</formula>
      <formula>15</formula>
    </cfRule>
    <cfRule type="cellIs" dxfId="316" priority="19080" operator="between">
      <formula>5</formula>
      <formula>9</formula>
    </cfRule>
    <cfRule type="cellIs" dxfId="315" priority="19081" operator="between">
      <formula>0</formula>
      <formula>4</formula>
    </cfRule>
  </conditionalFormatting>
  <conditionalFormatting sqref="B1050">
    <cfRule type="containsText" dxfId="314" priority="19076" operator="containsText" text="WHS">
      <formula>NOT(ISERROR(SEARCH("WHS",B1050)))</formula>
    </cfRule>
    <cfRule type="containsText" dxfId="313" priority="19077" operator="containsText" text="Environment">
      <formula>NOT(ISERROR(SEARCH("Environment",B1050)))</formula>
    </cfRule>
  </conditionalFormatting>
  <conditionalFormatting sqref="B1050">
    <cfRule type="containsText" dxfId="312" priority="19075" operator="containsText" text="Quality">
      <formula>NOT(ISERROR(SEARCH("Quality",B1050)))</formula>
    </cfRule>
  </conditionalFormatting>
  <conditionalFormatting sqref="F1050">
    <cfRule type="cellIs" dxfId="311" priority="19082" operator="between">
      <formula>16</formula>
      <formula>25</formula>
    </cfRule>
    <cfRule type="cellIs" dxfId="310" priority="19083" operator="between">
      <formula>10</formula>
      <formula>15</formula>
    </cfRule>
    <cfRule type="cellIs" dxfId="309" priority="19084" operator="between">
      <formula>5</formula>
      <formula>9</formula>
    </cfRule>
    <cfRule type="cellIs" dxfId="308" priority="19085" operator="between">
      <formula>0</formula>
      <formula>4</formula>
    </cfRule>
  </conditionalFormatting>
  <conditionalFormatting sqref="K1051">
    <cfRule type="cellIs" dxfId="307" priority="19067" operator="between">
      <formula>16</formula>
      <formula>25</formula>
    </cfRule>
    <cfRule type="cellIs" dxfId="306" priority="19068" operator="between">
      <formula>10</formula>
      <formula>15</formula>
    </cfRule>
    <cfRule type="cellIs" dxfId="305" priority="19069" operator="between">
      <formula>5</formula>
      <formula>9</formula>
    </cfRule>
    <cfRule type="cellIs" dxfId="304" priority="19070" operator="between">
      <formula>0</formula>
      <formula>4</formula>
    </cfRule>
  </conditionalFormatting>
  <conditionalFormatting sqref="B1051">
    <cfRule type="containsText" dxfId="303" priority="19065" operator="containsText" text="WHS">
      <formula>NOT(ISERROR(SEARCH("WHS",B1051)))</formula>
    </cfRule>
    <cfRule type="containsText" dxfId="302" priority="19066" operator="containsText" text="Environment">
      <formula>NOT(ISERROR(SEARCH("Environment",B1051)))</formula>
    </cfRule>
  </conditionalFormatting>
  <conditionalFormatting sqref="B1051">
    <cfRule type="containsText" dxfId="301" priority="19064" operator="containsText" text="Quality">
      <formula>NOT(ISERROR(SEARCH("Quality",B1051)))</formula>
    </cfRule>
  </conditionalFormatting>
  <conditionalFormatting sqref="F1051">
    <cfRule type="cellIs" dxfId="300" priority="19071" operator="between">
      <formula>16</formula>
      <formula>25</formula>
    </cfRule>
    <cfRule type="cellIs" dxfId="299" priority="19072" operator="between">
      <formula>10</formula>
      <formula>15</formula>
    </cfRule>
    <cfRule type="cellIs" dxfId="298" priority="19073" operator="between">
      <formula>5</formula>
      <formula>9</formula>
    </cfRule>
    <cfRule type="cellIs" dxfId="297" priority="19074" operator="between">
      <formula>0</formula>
      <formula>4</formula>
    </cfRule>
  </conditionalFormatting>
  <conditionalFormatting sqref="K1052">
    <cfRule type="cellIs" dxfId="296" priority="19056" operator="between">
      <formula>16</formula>
      <formula>25</formula>
    </cfRule>
    <cfRule type="cellIs" dxfId="295" priority="19057" operator="between">
      <formula>10</formula>
      <formula>15</formula>
    </cfRule>
    <cfRule type="cellIs" dxfId="294" priority="19058" operator="between">
      <formula>5</formula>
      <formula>9</formula>
    </cfRule>
    <cfRule type="cellIs" dxfId="293" priority="19059" operator="between">
      <formula>0</formula>
      <formula>4</formula>
    </cfRule>
  </conditionalFormatting>
  <conditionalFormatting sqref="B1052">
    <cfRule type="containsText" dxfId="292" priority="19054" operator="containsText" text="WHS">
      <formula>NOT(ISERROR(SEARCH("WHS",B1052)))</formula>
    </cfRule>
    <cfRule type="containsText" dxfId="291" priority="19055" operator="containsText" text="Environment">
      <formula>NOT(ISERROR(SEARCH("Environment",B1052)))</formula>
    </cfRule>
  </conditionalFormatting>
  <conditionalFormatting sqref="B1052">
    <cfRule type="containsText" dxfId="290" priority="19053" operator="containsText" text="Quality">
      <formula>NOT(ISERROR(SEARCH("Quality",B1052)))</formula>
    </cfRule>
  </conditionalFormatting>
  <conditionalFormatting sqref="F1052">
    <cfRule type="cellIs" dxfId="289" priority="19060" operator="between">
      <formula>16</formula>
      <formula>25</formula>
    </cfRule>
    <cfRule type="cellIs" dxfId="288" priority="19061" operator="between">
      <formula>10</formula>
      <formula>15</formula>
    </cfRule>
    <cfRule type="cellIs" dxfId="287" priority="19062" operator="between">
      <formula>5</formula>
      <formula>9</formula>
    </cfRule>
    <cfRule type="cellIs" dxfId="286" priority="19063" operator="between">
      <formula>0</formula>
      <formula>4</formula>
    </cfRule>
  </conditionalFormatting>
  <conditionalFormatting sqref="K1053">
    <cfRule type="cellIs" dxfId="285" priority="19045" operator="between">
      <formula>16</formula>
      <formula>25</formula>
    </cfRule>
    <cfRule type="cellIs" dxfId="284" priority="19046" operator="between">
      <formula>10</formula>
      <formula>15</formula>
    </cfRule>
    <cfRule type="cellIs" dxfId="283" priority="19047" operator="between">
      <formula>5</formula>
      <formula>9</formula>
    </cfRule>
    <cfRule type="cellIs" dxfId="282" priority="19048" operator="between">
      <formula>0</formula>
      <formula>4</formula>
    </cfRule>
  </conditionalFormatting>
  <conditionalFormatting sqref="B1053">
    <cfRule type="containsText" dxfId="281" priority="19043" operator="containsText" text="WHS">
      <formula>NOT(ISERROR(SEARCH("WHS",B1053)))</formula>
    </cfRule>
    <cfRule type="containsText" dxfId="280" priority="19044" operator="containsText" text="Environment">
      <formula>NOT(ISERROR(SEARCH("Environment",B1053)))</formula>
    </cfRule>
  </conditionalFormatting>
  <conditionalFormatting sqref="B1053">
    <cfRule type="containsText" dxfId="279" priority="19042" operator="containsText" text="Quality">
      <formula>NOT(ISERROR(SEARCH("Quality",B1053)))</formula>
    </cfRule>
  </conditionalFormatting>
  <conditionalFormatting sqref="F1053">
    <cfRule type="cellIs" dxfId="278" priority="19049" operator="between">
      <formula>16</formula>
      <formula>25</formula>
    </cfRule>
    <cfRule type="cellIs" dxfId="277" priority="19050" operator="between">
      <formula>10</formula>
      <formula>15</formula>
    </cfRule>
    <cfRule type="cellIs" dxfId="276" priority="19051" operator="between">
      <formula>5</formula>
      <formula>9</formula>
    </cfRule>
    <cfRule type="cellIs" dxfId="275" priority="19052" operator="between">
      <formula>0</formula>
      <formula>4</formula>
    </cfRule>
  </conditionalFormatting>
  <conditionalFormatting sqref="K1054">
    <cfRule type="cellIs" dxfId="274" priority="19034" operator="between">
      <formula>16</formula>
      <formula>25</formula>
    </cfRule>
    <cfRule type="cellIs" dxfId="273" priority="19035" operator="between">
      <formula>10</formula>
      <formula>15</formula>
    </cfRule>
    <cfRule type="cellIs" dxfId="272" priority="19036" operator="between">
      <formula>5</formula>
      <formula>9</formula>
    </cfRule>
    <cfRule type="cellIs" dxfId="271" priority="19037" operator="between">
      <formula>0</formula>
      <formula>4</formula>
    </cfRule>
  </conditionalFormatting>
  <conditionalFormatting sqref="B1054">
    <cfRule type="containsText" dxfId="270" priority="19032" operator="containsText" text="WHS">
      <formula>NOT(ISERROR(SEARCH("WHS",B1054)))</formula>
    </cfRule>
    <cfRule type="containsText" dxfId="269" priority="19033" operator="containsText" text="Environment">
      <formula>NOT(ISERROR(SEARCH("Environment",B1054)))</formula>
    </cfRule>
  </conditionalFormatting>
  <conditionalFormatting sqref="B1054">
    <cfRule type="containsText" dxfId="268" priority="19031" operator="containsText" text="Quality">
      <formula>NOT(ISERROR(SEARCH("Quality",B1054)))</formula>
    </cfRule>
  </conditionalFormatting>
  <conditionalFormatting sqref="F1054">
    <cfRule type="cellIs" dxfId="267" priority="19038" operator="between">
      <formula>16</formula>
      <formula>25</formula>
    </cfRule>
    <cfRule type="cellIs" dxfId="266" priority="19039" operator="between">
      <formula>10</formula>
      <formula>15</formula>
    </cfRule>
    <cfRule type="cellIs" dxfId="265" priority="19040" operator="between">
      <formula>5</formula>
      <formula>9</formula>
    </cfRule>
    <cfRule type="cellIs" dxfId="264" priority="19041" operator="between">
      <formula>0</formula>
      <formula>4</formula>
    </cfRule>
  </conditionalFormatting>
  <conditionalFormatting sqref="K1055">
    <cfRule type="cellIs" dxfId="263" priority="19023" operator="between">
      <formula>16</formula>
      <formula>25</formula>
    </cfRule>
    <cfRule type="cellIs" dxfId="262" priority="19024" operator="between">
      <formula>10</formula>
      <formula>15</formula>
    </cfRule>
    <cfRule type="cellIs" dxfId="261" priority="19025" operator="between">
      <formula>5</formula>
      <formula>9</formula>
    </cfRule>
    <cfRule type="cellIs" dxfId="260" priority="19026" operator="between">
      <formula>0</formula>
      <formula>4</formula>
    </cfRule>
  </conditionalFormatting>
  <conditionalFormatting sqref="B1055">
    <cfRule type="containsText" dxfId="259" priority="19021" operator="containsText" text="WHS">
      <formula>NOT(ISERROR(SEARCH("WHS",B1055)))</formula>
    </cfRule>
    <cfRule type="containsText" dxfId="258" priority="19022" operator="containsText" text="Environment">
      <formula>NOT(ISERROR(SEARCH("Environment",B1055)))</formula>
    </cfRule>
  </conditionalFormatting>
  <conditionalFormatting sqref="B1055">
    <cfRule type="containsText" dxfId="257" priority="19020" operator="containsText" text="Quality">
      <formula>NOT(ISERROR(SEARCH("Quality",B1055)))</formula>
    </cfRule>
  </conditionalFormatting>
  <conditionalFormatting sqref="F1055">
    <cfRule type="cellIs" dxfId="256" priority="19027" operator="between">
      <formula>16</formula>
      <formula>25</formula>
    </cfRule>
    <cfRule type="cellIs" dxfId="255" priority="19028" operator="between">
      <formula>10</formula>
      <formula>15</formula>
    </cfRule>
    <cfRule type="cellIs" dxfId="254" priority="19029" operator="between">
      <formula>5</formula>
      <formula>9</formula>
    </cfRule>
    <cfRule type="cellIs" dxfId="253" priority="19030" operator="between">
      <formula>0</formula>
      <formula>4</formula>
    </cfRule>
  </conditionalFormatting>
  <conditionalFormatting sqref="K1056">
    <cfRule type="cellIs" dxfId="252" priority="19012" operator="between">
      <formula>16</formula>
      <formula>25</formula>
    </cfRule>
    <cfRule type="cellIs" dxfId="251" priority="19013" operator="between">
      <formula>10</formula>
      <formula>15</formula>
    </cfRule>
    <cfRule type="cellIs" dxfId="250" priority="19014" operator="between">
      <formula>5</formula>
      <formula>9</formula>
    </cfRule>
    <cfRule type="cellIs" dxfId="249" priority="19015" operator="between">
      <formula>0</formula>
      <formula>4</formula>
    </cfRule>
  </conditionalFormatting>
  <conditionalFormatting sqref="B1056">
    <cfRule type="containsText" dxfId="248" priority="19010" operator="containsText" text="WHS">
      <formula>NOT(ISERROR(SEARCH("WHS",B1056)))</formula>
    </cfRule>
    <cfRule type="containsText" dxfId="247" priority="19011" operator="containsText" text="Environment">
      <formula>NOT(ISERROR(SEARCH("Environment",B1056)))</formula>
    </cfRule>
  </conditionalFormatting>
  <conditionalFormatting sqref="B1056">
    <cfRule type="containsText" dxfId="246" priority="19009" operator="containsText" text="Quality">
      <formula>NOT(ISERROR(SEARCH("Quality",B1056)))</formula>
    </cfRule>
  </conditionalFormatting>
  <conditionalFormatting sqref="F1056">
    <cfRule type="cellIs" dxfId="245" priority="19016" operator="between">
      <formula>16</formula>
      <formula>25</formula>
    </cfRule>
    <cfRule type="cellIs" dxfId="244" priority="19017" operator="between">
      <formula>10</formula>
      <formula>15</formula>
    </cfRule>
    <cfRule type="cellIs" dxfId="243" priority="19018" operator="between">
      <formula>5</formula>
      <formula>9</formula>
    </cfRule>
    <cfRule type="cellIs" dxfId="242" priority="19019" operator="between">
      <formula>0</formula>
      <formula>4</formula>
    </cfRule>
  </conditionalFormatting>
  <conditionalFormatting sqref="K1057">
    <cfRule type="cellIs" dxfId="241" priority="19001" operator="between">
      <formula>16</formula>
      <formula>25</formula>
    </cfRule>
    <cfRule type="cellIs" dxfId="240" priority="19002" operator="between">
      <formula>10</formula>
      <formula>15</formula>
    </cfRule>
    <cfRule type="cellIs" dxfId="239" priority="19003" operator="between">
      <formula>5</formula>
      <formula>9</formula>
    </cfRule>
    <cfRule type="cellIs" dxfId="238" priority="19004" operator="between">
      <formula>0</formula>
      <formula>4</formula>
    </cfRule>
  </conditionalFormatting>
  <conditionalFormatting sqref="B1057">
    <cfRule type="containsText" dxfId="237" priority="18999" operator="containsText" text="WHS">
      <formula>NOT(ISERROR(SEARCH("WHS",B1057)))</formula>
    </cfRule>
    <cfRule type="containsText" dxfId="236" priority="19000" operator="containsText" text="Environment">
      <formula>NOT(ISERROR(SEARCH("Environment",B1057)))</formula>
    </cfRule>
  </conditionalFormatting>
  <conditionalFormatting sqref="B1057">
    <cfRule type="containsText" dxfId="235" priority="18998" operator="containsText" text="Quality">
      <formula>NOT(ISERROR(SEARCH("Quality",B1057)))</formula>
    </cfRule>
  </conditionalFormatting>
  <conditionalFormatting sqref="F1057">
    <cfRule type="cellIs" dxfId="234" priority="19005" operator="between">
      <formula>16</formula>
      <formula>25</formula>
    </cfRule>
    <cfRule type="cellIs" dxfId="233" priority="19006" operator="between">
      <formula>10</formula>
      <formula>15</formula>
    </cfRule>
    <cfRule type="cellIs" dxfId="232" priority="19007" operator="between">
      <formula>5</formula>
      <formula>9</formula>
    </cfRule>
    <cfRule type="cellIs" dxfId="231" priority="19008" operator="between">
      <formula>0</formula>
      <formula>4</formula>
    </cfRule>
  </conditionalFormatting>
  <conditionalFormatting sqref="K1058">
    <cfRule type="cellIs" dxfId="230" priority="18990" operator="between">
      <formula>16</formula>
      <formula>25</formula>
    </cfRule>
    <cfRule type="cellIs" dxfId="229" priority="18991" operator="between">
      <formula>10</formula>
      <formula>15</formula>
    </cfRule>
    <cfRule type="cellIs" dxfId="228" priority="18992" operator="between">
      <formula>5</formula>
      <formula>9</formula>
    </cfRule>
    <cfRule type="cellIs" dxfId="227" priority="18993" operator="between">
      <formula>0</formula>
      <formula>4</formula>
    </cfRule>
  </conditionalFormatting>
  <conditionalFormatting sqref="B1058">
    <cfRule type="containsText" dxfId="226" priority="18988" operator="containsText" text="WHS">
      <formula>NOT(ISERROR(SEARCH("WHS",B1058)))</formula>
    </cfRule>
    <cfRule type="containsText" dxfId="225" priority="18989" operator="containsText" text="Environment">
      <formula>NOT(ISERROR(SEARCH("Environment",B1058)))</formula>
    </cfRule>
  </conditionalFormatting>
  <conditionalFormatting sqref="B1058">
    <cfRule type="containsText" dxfId="224" priority="18987" operator="containsText" text="Quality">
      <formula>NOT(ISERROR(SEARCH("Quality",B1058)))</formula>
    </cfRule>
  </conditionalFormatting>
  <conditionalFormatting sqref="F1058">
    <cfRule type="cellIs" dxfId="223" priority="18994" operator="between">
      <formula>16</formula>
      <formula>25</formula>
    </cfRule>
    <cfRule type="cellIs" dxfId="222" priority="18995" operator="between">
      <formula>10</formula>
      <formula>15</formula>
    </cfRule>
    <cfRule type="cellIs" dxfId="221" priority="18996" operator="between">
      <formula>5</formula>
      <formula>9</formula>
    </cfRule>
    <cfRule type="cellIs" dxfId="220" priority="18997" operator="between">
      <formula>0</formula>
      <formula>4</formula>
    </cfRule>
  </conditionalFormatting>
  <conditionalFormatting sqref="K1059">
    <cfRule type="cellIs" dxfId="219" priority="18979" operator="between">
      <formula>16</formula>
      <formula>25</formula>
    </cfRule>
    <cfRule type="cellIs" dxfId="218" priority="18980" operator="between">
      <formula>10</formula>
      <formula>15</formula>
    </cfRule>
    <cfRule type="cellIs" dxfId="217" priority="18981" operator="between">
      <formula>5</formula>
      <formula>9</formula>
    </cfRule>
    <cfRule type="cellIs" dxfId="216" priority="18982" operator="between">
      <formula>0</formula>
      <formula>4</formula>
    </cfRule>
  </conditionalFormatting>
  <conditionalFormatting sqref="B1059">
    <cfRule type="containsText" dxfId="215" priority="18977" operator="containsText" text="WHS">
      <formula>NOT(ISERROR(SEARCH("WHS",B1059)))</formula>
    </cfRule>
    <cfRule type="containsText" dxfId="214" priority="18978" operator="containsText" text="Environment">
      <formula>NOT(ISERROR(SEARCH("Environment",B1059)))</formula>
    </cfRule>
  </conditionalFormatting>
  <conditionalFormatting sqref="B1059">
    <cfRule type="containsText" dxfId="213" priority="18976" operator="containsText" text="Quality">
      <formula>NOT(ISERROR(SEARCH("Quality",B1059)))</formula>
    </cfRule>
  </conditionalFormatting>
  <conditionalFormatting sqref="F1059">
    <cfRule type="cellIs" dxfId="212" priority="18983" operator="between">
      <formula>16</formula>
      <formula>25</formula>
    </cfRule>
    <cfRule type="cellIs" dxfId="211" priority="18984" operator="between">
      <formula>10</formula>
      <formula>15</formula>
    </cfRule>
    <cfRule type="cellIs" dxfId="210" priority="18985" operator="between">
      <formula>5</formula>
      <formula>9</formula>
    </cfRule>
    <cfRule type="cellIs" dxfId="209" priority="18986" operator="between">
      <formula>0</formula>
      <formula>4</formula>
    </cfRule>
  </conditionalFormatting>
  <conditionalFormatting sqref="K1060">
    <cfRule type="cellIs" dxfId="208" priority="18968" operator="between">
      <formula>16</formula>
      <formula>25</formula>
    </cfRule>
    <cfRule type="cellIs" dxfId="207" priority="18969" operator="between">
      <formula>10</formula>
      <formula>15</formula>
    </cfRule>
    <cfRule type="cellIs" dxfId="206" priority="18970" operator="between">
      <formula>5</formula>
      <formula>9</formula>
    </cfRule>
    <cfRule type="cellIs" dxfId="205" priority="18971" operator="between">
      <formula>0</formula>
      <formula>4</formula>
    </cfRule>
  </conditionalFormatting>
  <conditionalFormatting sqref="B1060">
    <cfRule type="containsText" dxfId="204" priority="18966" operator="containsText" text="WHS">
      <formula>NOT(ISERROR(SEARCH("WHS",B1060)))</formula>
    </cfRule>
    <cfRule type="containsText" dxfId="203" priority="18967" operator="containsText" text="Environment">
      <formula>NOT(ISERROR(SEARCH("Environment",B1060)))</formula>
    </cfRule>
  </conditionalFormatting>
  <conditionalFormatting sqref="B1060">
    <cfRule type="containsText" dxfId="202" priority="18965" operator="containsText" text="Quality">
      <formula>NOT(ISERROR(SEARCH("Quality",B1060)))</formula>
    </cfRule>
  </conditionalFormatting>
  <conditionalFormatting sqref="F1060">
    <cfRule type="cellIs" dxfId="201" priority="18972" operator="between">
      <formula>16</formula>
      <formula>25</formula>
    </cfRule>
    <cfRule type="cellIs" dxfId="200" priority="18973" operator="between">
      <formula>10</formula>
      <formula>15</formula>
    </cfRule>
    <cfRule type="cellIs" dxfId="199" priority="18974" operator="between">
      <formula>5</formula>
      <formula>9</formula>
    </cfRule>
    <cfRule type="cellIs" dxfId="198" priority="18975" operator="between">
      <formula>0</formula>
      <formula>4</formula>
    </cfRule>
  </conditionalFormatting>
  <conditionalFormatting sqref="K1061">
    <cfRule type="cellIs" dxfId="197" priority="18957" operator="between">
      <formula>16</formula>
      <formula>25</formula>
    </cfRule>
    <cfRule type="cellIs" dxfId="196" priority="18958" operator="between">
      <formula>10</formula>
      <formula>15</formula>
    </cfRule>
    <cfRule type="cellIs" dxfId="195" priority="18959" operator="between">
      <formula>5</formula>
      <formula>9</formula>
    </cfRule>
    <cfRule type="cellIs" dxfId="194" priority="18960" operator="between">
      <formula>0</formula>
      <formula>4</formula>
    </cfRule>
  </conditionalFormatting>
  <conditionalFormatting sqref="B1061">
    <cfRule type="containsText" dxfId="193" priority="18955" operator="containsText" text="WHS">
      <formula>NOT(ISERROR(SEARCH("WHS",B1061)))</formula>
    </cfRule>
    <cfRule type="containsText" dxfId="192" priority="18956" operator="containsText" text="Environment">
      <formula>NOT(ISERROR(SEARCH("Environment",B1061)))</formula>
    </cfRule>
  </conditionalFormatting>
  <conditionalFormatting sqref="B1061">
    <cfRule type="containsText" dxfId="191" priority="18954" operator="containsText" text="Quality">
      <formula>NOT(ISERROR(SEARCH("Quality",B1061)))</formula>
    </cfRule>
  </conditionalFormatting>
  <conditionalFormatting sqref="F1061">
    <cfRule type="cellIs" dxfId="190" priority="18961" operator="between">
      <formula>16</formula>
      <formula>25</formula>
    </cfRule>
    <cfRule type="cellIs" dxfId="189" priority="18962" operator="between">
      <formula>10</formula>
      <formula>15</formula>
    </cfRule>
    <cfRule type="cellIs" dxfId="188" priority="18963" operator="between">
      <formula>5</formula>
      <formula>9</formula>
    </cfRule>
    <cfRule type="cellIs" dxfId="187" priority="18964" operator="between">
      <formula>0</formula>
      <formula>4</formula>
    </cfRule>
  </conditionalFormatting>
  <conditionalFormatting sqref="K1062">
    <cfRule type="cellIs" dxfId="186" priority="18946" operator="between">
      <formula>16</formula>
      <formula>25</formula>
    </cfRule>
    <cfRule type="cellIs" dxfId="185" priority="18947" operator="between">
      <formula>10</formula>
      <formula>15</formula>
    </cfRule>
    <cfRule type="cellIs" dxfId="184" priority="18948" operator="between">
      <formula>5</formula>
      <formula>9</formula>
    </cfRule>
    <cfRule type="cellIs" dxfId="183" priority="18949" operator="between">
      <formula>0</formula>
      <formula>4</formula>
    </cfRule>
  </conditionalFormatting>
  <conditionalFormatting sqref="B1062">
    <cfRule type="containsText" dxfId="182" priority="18944" operator="containsText" text="WHS">
      <formula>NOT(ISERROR(SEARCH("WHS",B1062)))</formula>
    </cfRule>
    <cfRule type="containsText" dxfId="181" priority="18945" operator="containsText" text="Environment">
      <formula>NOT(ISERROR(SEARCH("Environment",B1062)))</formula>
    </cfRule>
  </conditionalFormatting>
  <conditionalFormatting sqref="B1062">
    <cfRule type="containsText" dxfId="180" priority="18943" operator="containsText" text="Quality">
      <formula>NOT(ISERROR(SEARCH("Quality",B1062)))</formula>
    </cfRule>
  </conditionalFormatting>
  <conditionalFormatting sqref="F1062">
    <cfRule type="cellIs" dxfId="179" priority="18950" operator="between">
      <formula>16</formula>
      <formula>25</formula>
    </cfRule>
    <cfRule type="cellIs" dxfId="178" priority="18951" operator="between">
      <formula>10</formula>
      <formula>15</formula>
    </cfRule>
    <cfRule type="cellIs" dxfId="177" priority="18952" operator="between">
      <formula>5</formula>
      <formula>9</formula>
    </cfRule>
    <cfRule type="cellIs" dxfId="176" priority="18953" operator="between">
      <formula>0</formula>
      <formula>4</formula>
    </cfRule>
  </conditionalFormatting>
  <conditionalFormatting sqref="K1063">
    <cfRule type="cellIs" dxfId="175" priority="18935" operator="between">
      <formula>16</formula>
      <formula>25</formula>
    </cfRule>
    <cfRule type="cellIs" dxfId="174" priority="18936" operator="between">
      <formula>10</formula>
      <formula>15</formula>
    </cfRule>
    <cfRule type="cellIs" dxfId="173" priority="18937" operator="between">
      <formula>5</formula>
      <formula>9</formula>
    </cfRule>
    <cfRule type="cellIs" dxfId="172" priority="18938" operator="between">
      <formula>0</formula>
      <formula>4</formula>
    </cfRule>
  </conditionalFormatting>
  <conditionalFormatting sqref="B1063">
    <cfRule type="containsText" dxfId="171" priority="18933" operator="containsText" text="WHS">
      <formula>NOT(ISERROR(SEARCH("WHS",B1063)))</formula>
    </cfRule>
    <cfRule type="containsText" dxfId="170" priority="18934" operator="containsText" text="Environment">
      <formula>NOT(ISERROR(SEARCH("Environment",B1063)))</formula>
    </cfRule>
  </conditionalFormatting>
  <conditionalFormatting sqref="B1063">
    <cfRule type="containsText" dxfId="169" priority="18932" operator="containsText" text="Quality">
      <formula>NOT(ISERROR(SEARCH("Quality",B1063)))</formula>
    </cfRule>
  </conditionalFormatting>
  <conditionalFormatting sqref="F1063">
    <cfRule type="cellIs" dxfId="168" priority="18939" operator="between">
      <formula>16</formula>
      <formula>25</formula>
    </cfRule>
    <cfRule type="cellIs" dxfId="167" priority="18940" operator="between">
      <formula>10</formula>
      <formula>15</formula>
    </cfRule>
    <cfRule type="cellIs" dxfId="166" priority="18941" operator="between">
      <formula>5</formula>
      <formula>9</formula>
    </cfRule>
    <cfRule type="cellIs" dxfId="165" priority="18942" operator="between">
      <formula>0</formula>
      <formula>4</formula>
    </cfRule>
  </conditionalFormatting>
  <conditionalFormatting sqref="K1064">
    <cfRule type="cellIs" dxfId="164" priority="18924" operator="between">
      <formula>16</formula>
      <formula>25</formula>
    </cfRule>
    <cfRule type="cellIs" dxfId="163" priority="18925" operator="between">
      <formula>10</formula>
      <formula>15</formula>
    </cfRule>
    <cfRule type="cellIs" dxfId="162" priority="18926" operator="between">
      <formula>5</formula>
      <formula>9</formula>
    </cfRule>
    <cfRule type="cellIs" dxfId="161" priority="18927" operator="between">
      <formula>0</formula>
      <formula>4</formula>
    </cfRule>
  </conditionalFormatting>
  <conditionalFormatting sqref="B1064">
    <cfRule type="containsText" dxfId="160" priority="18922" operator="containsText" text="WHS">
      <formula>NOT(ISERROR(SEARCH("WHS",B1064)))</formula>
    </cfRule>
    <cfRule type="containsText" dxfId="159" priority="18923" operator="containsText" text="Environment">
      <formula>NOT(ISERROR(SEARCH("Environment",B1064)))</formula>
    </cfRule>
  </conditionalFormatting>
  <conditionalFormatting sqref="B1064">
    <cfRule type="containsText" dxfId="158" priority="18921" operator="containsText" text="Quality">
      <formula>NOT(ISERROR(SEARCH("Quality",B1064)))</formula>
    </cfRule>
  </conditionalFormatting>
  <conditionalFormatting sqref="F1064">
    <cfRule type="cellIs" dxfId="157" priority="18928" operator="between">
      <formula>16</formula>
      <formula>25</formula>
    </cfRule>
    <cfRule type="cellIs" dxfId="156" priority="18929" operator="between">
      <formula>10</formula>
      <formula>15</formula>
    </cfRule>
    <cfRule type="cellIs" dxfId="155" priority="18930" operator="between">
      <formula>5</formula>
      <formula>9</formula>
    </cfRule>
    <cfRule type="cellIs" dxfId="154" priority="18931" operator="between">
      <formula>0</formula>
      <formula>4</formula>
    </cfRule>
  </conditionalFormatting>
  <conditionalFormatting sqref="K1065">
    <cfRule type="cellIs" dxfId="153" priority="18913" operator="between">
      <formula>16</formula>
      <formula>25</formula>
    </cfRule>
    <cfRule type="cellIs" dxfId="152" priority="18914" operator="between">
      <formula>10</formula>
      <formula>15</formula>
    </cfRule>
    <cfRule type="cellIs" dxfId="151" priority="18915" operator="between">
      <formula>5</formula>
      <formula>9</formula>
    </cfRule>
    <cfRule type="cellIs" dxfId="150" priority="18916" operator="between">
      <formula>0</formula>
      <formula>4</formula>
    </cfRule>
  </conditionalFormatting>
  <conditionalFormatting sqref="B1065">
    <cfRule type="containsText" dxfId="149" priority="18911" operator="containsText" text="WHS">
      <formula>NOT(ISERROR(SEARCH("WHS",B1065)))</formula>
    </cfRule>
    <cfRule type="containsText" dxfId="148" priority="18912" operator="containsText" text="Environment">
      <formula>NOT(ISERROR(SEARCH("Environment",B1065)))</formula>
    </cfRule>
  </conditionalFormatting>
  <conditionalFormatting sqref="B1065">
    <cfRule type="containsText" dxfId="147" priority="18910" operator="containsText" text="Quality">
      <formula>NOT(ISERROR(SEARCH("Quality",B1065)))</formula>
    </cfRule>
  </conditionalFormatting>
  <conditionalFormatting sqref="F1065">
    <cfRule type="cellIs" dxfId="146" priority="18917" operator="between">
      <formula>16</formula>
      <formula>25</formula>
    </cfRule>
    <cfRule type="cellIs" dxfId="145" priority="18918" operator="between">
      <formula>10</formula>
      <formula>15</formula>
    </cfRule>
    <cfRule type="cellIs" dxfId="144" priority="18919" operator="between">
      <formula>5</formula>
      <formula>9</formula>
    </cfRule>
    <cfRule type="cellIs" dxfId="143" priority="18920" operator="between">
      <formula>0</formula>
      <formula>4</formula>
    </cfRule>
  </conditionalFormatting>
  <conditionalFormatting sqref="K1066">
    <cfRule type="cellIs" dxfId="142" priority="18902" operator="between">
      <formula>16</formula>
      <formula>25</formula>
    </cfRule>
    <cfRule type="cellIs" dxfId="141" priority="18903" operator="between">
      <formula>10</formula>
      <formula>15</formula>
    </cfRule>
    <cfRule type="cellIs" dxfId="140" priority="18904" operator="between">
      <formula>5</formula>
      <formula>9</formula>
    </cfRule>
    <cfRule type="cellIs" dxfId="139" priority="18905" operator="between">
      <formula>0</formula>
      <formula>4</formula>
    </cfRule>
  </conditionalFormatting>
  <conditionalFormatting sqref="B1066">
    <cfRule type="containsText" dxfId="138" priority="18900" operator="containsText" text="WHS">
      <formula>NOT(ISERROR(SEARCH("WHS",B1066)))</formula>
    </cfRule>
    <cfRule type="containsText" dxfId="137" priority="18901" operator="containsText" text="Environment">
      <formula>NOT(ISERROR(SEARCH("Environment",B1066)))</formula>
    </cfRule>
  </conditionalFormatting>
  <conditionalFormatting sqref="B1066">
    <cfRule type="containsText" dxfId="136" priority="18899" operator="containsText" text="Quality">
      <formula>NOT(ISERROR(SEARCH("Quality",B1066)))</formula>
    </cfRule>
  </conditionalFormatting>
  <conditionalFormatting sqref="F1066">
    <cfRule type="cellIs" dxfId="135" priority="18906" operator="between">
      <formula>16</formula>
      <formula>25</formula>
    </cfRule>
    <cfRule type="cellIs" dxfId="134" priority="18907" operator="between">
      <formula>10</formula>
      <formula>15</formula>
    </cfRule>
    <cfRule type="cellIs" dxfId="133" priority="18908" operator="between">
      <formula>5</formula>
      <formula>9</formula>
    </cfRule>
    <cfRule type="cellIs" dxfId="132" priority="18909" operator="between">
      <formula>0</formula>
      <formula>4</formula>
    </cfRule>
  </conditionalFormatting>
  <conditionalFormatting sqref="K1067">
    <cfRule type="cellIs" dxfId="131" priority="18891" operator="between">
      <formula>16</formula>
      <formula>25</formula>
    </cfRule>
    <cfRule type="cellIs" dxfId="130" priority="18892" operator="between">
      <formula>10</formula>
      <formula>15</formula>
    </cfRule>
    <cfRule type="cellIs" dxfId="129" priority="18893" operator="between">
      <formula>5</formula>
      <formula>9</formula>
    </cfRule>
    <cfRule type="cellIs" dxfId="128" priority="18894" operator="between">
      <formula>0</formula>
      <formula>4</formula>
    </cfRule>
  </conditionalFormatting>
  <conditionalFormatting sqref="B1067">
    <cfRule type="containsText" dxfId="127" priority="18889" operator="containsText" text="WHS">
      <formula>NOT(ISERROR(SEARCH("WHS",B1067)))</formula>
    </cfRule>
    <cfRule type="containsText" dxfId="126" priority="18890" operator="containsText" text="Environment">
      <formula>NOT(ISERROR(SEARCH("Environment",B1067)))</formula>
    </cfRule>
  </conditionalFormatting>
  <conditionalFormatting sqref="B1067">
    <cfRule type="containsText" dxfId="125" priority="18888" operator="containsText" text="Quality">
      <formula>NOT(ISERROR(SEARCH("Quality",B1067)))</formula>
    </cfRule>
  </conditionalFormatting>
  <conditionalFormatting sqref="F1067">
    <cfRule type="cellIs" dxfId="124" priority="18895" operator="between">
      <formula>16</formula>
      <formula>25</formula>
    </cfRule>
    <cfRule type="cellIs" dxfId="123" priority="18896" operator="between">
      <formula>10</formula>
      <formula>15</formula>
    </cfRule>
    <cfRule type="cellIs" dxfId="122" priority="18897" operator="between">
      <formula>5</formula>
      <formula>9</formula>
    </cfRule>
    <cfRule type="cellIs" dxfId="121" priority="18898" operator="between">
      <formula>0</formula>
      <formula>4</formula>
    </cfRule>
  </conditionalFormatting>
  <conditionalFormatting sqref="K1068">
    <cfRule type="cellIs" dxfId="120" priority="18880" operator="between">
      <formula>16</formula>
      <formula>25</formula>
    </cfRule>
    <cfRule type="cellIs" dxfId="119" priority="18881" operator="between">
      <formula>10</formula>
      <formula>15</formula>
    </cfRule>
    <cfRule type="cellIs" dxfId="118" priority="18882" operator="between">
      <formula>5</formula>
      <formula>9</formula>
    </cfRule>
    <cfRule type="cellIs" dxfId="117" priority="18883" operator="between">
      <formula>0</formula>
      <formula>4</formula>
    </cfRule>
  </conditionalFormatting>
  <conditionalFormatting sqref="B1068">
    <cfRule type="containsText" dxfId="116" priority="18878" operator="containsText" text="WHS">
      <formula>NOT(ISERROR(SEARCH("WHS",B1068)))</formula>
    </cfRule>
    <cfRule type="containsText" dxfId="115" priority="18879" operator="containsText" text="Environment">
      <formula>NOT(ISERROR(SEARCH("Environment",B1068)))</formula>
    </cfRule>
  </conditionalFormatting>
  <conditionalFormatting sqref="B1068">
    <cfRule type="containsText" dxfId="114" priority="18877" operator="containsText" text="Quality">
      <formula>NOT(ISERROR(SEARCH("Quality",B1068)))</formula>
    </cfRule>
  </conditionalFormatting>
  <conditionalFormatting sqref="F1068">
    <cfRule type="cellIs" dxfId="113" priority="18884" operator="between">
      <formula>16</formula>
      <formula>25</formula>
    </cfRule>
    <cfRule type="cellIs" dxfId="112" priority="18885" operator="between">
      <formula>10</formula>
      <formula>15</formula>
    </cfRule>
    <cfRule type="cellIs" dxfId="111" priority="18886" operator="between">
      <formula>5</formula>
      <formula>9</formula>
    </cfRule>
    <cfRule type="cellIs" dxfId="110" priority="18887" operator="between">
      <formula>0</formula>
      <formula>4</formula>
    </cfRule>
  </conditionalFormatting>
  <conditionalFormatting sqref="K1505">
    <cfRule type="cellIs" dxfId="109" priority="18869" operator="between">
      <formula>16</formula>
      <formula>25</formula>
    </cfRule>
    <cfRule type="cellIs" dxfId="108" priority="18870" operator="between">
      <formula>10</formula>
      <formula>15</formula>
    </cfRule>
    <cfRule type="cellIs" dxfId="107" priority="18871" operator="between">
      <formula>5</formula>
      <formula>9</formula>
    </cfRule>
    <cfRule type="cellIs" dxfId="106" priority="18872" operator="between">
      <formula>0</formula>
      <formula>4</formula>
    </cfRule>
  </conditionalFormatting>
  <conditionalFormatting sqref="B1505">
    <cfRule type="containsText" dxfId="105" priority="18867" operator="containsText" text="WHS">
      <formula>NOT(ISERROR(SEARCH("WHS",B1505)))</formula>
    </cfRule>
    <cfRule type="containsText" dxfId="104" priority="18868" operator="containsText" text="Environment">
      <formula>NOT(ISERROR(SEARCH("Environment",B1505)))</formula>
    </cfRule>
  </conditionalFormatting>
  <conditionalFormatting sqref="B1505">
    <cfRule type="containsText" dxfId="103" priority="18866" operator="containsText" text="Quality">
      <formula>NOT(ISERROR(SEARCH("Quality",B1505)))</formula>
    </cfRule>
  </conditionalFormatting>
  <conditionalFormatting sqref="F1505">
    <cfRule type="cellIs" dxfId="102" priority="18873" operator="between">
      <formula>16</formula>
      <formula>25</formula>
    </cfRule>
    <cfRule type="cellIs" dxfId="101" priority="18874" operator="between">
      <formula>10</formula>
      <formula>15</formula>
    </cfRule>
    <cfRule type="cellIs" dxfId="100" priority="18875" operator="between">
      <formula>5</formula>
      <formula>9</formula>
    </cfRule>
    <cfRule type="cellIs" dxfId="99" priority="18876" operator="between">
      <formula>0</formula>
      <formula>4</formula>
    </cfRule>
  </conditionalFormatting>
  <conditionalFormatting sqref="K8">
    <cfRule type="cellIs" dxfId="98" priority="92" operator="between">
      <formula>16</formula>
      <formula>25</formula>
    </cfRule>
    <cfRule type="cellIs" dxfId="97" priority="93" operator="between">
      <formula>10</formula>
      <formula>15</formula>
    </cfRule>
    <cfRule type="cellIs" dxfId="96" priority="94" operator="between">
      <formula>5</formula>
      <formula>9</formula>
    </cfRule>
    <cfRule type="cellIs" dxfId="95" priority="95" operator="between">
      <formula>0</formula>
      <formula>4</formula>
    </cfRule>
  </conditionalFormatting>
  <conditionalFormatting sqref="B8">
    <cfRule type="containsText" dxfId="94" priority="90" operator="containsText" text="WHS">
      <formula>NOT(ISERROR(SEARCH("WHS",B8)))</formula>
    </cfRule>
    <cfRule type="containsText" dxfId="93" priority="91" operator="containsText" text="Environment">
      <formula>NOT(ISERROR(SEARCH("Environment",B8)))</formula>
    </cfRule>
  </conditionalFormatting>
  <conditionalFormatting sqref="B8">
    <cfRule type="containsText" dxfId="92" priority="89" operator="containsText" text="Quality">
      <formula>NOT(ISERROR(SEARCH("Quality",B8)))</formula>
    </cfRule>
  </conditionalFormatting>
  <conditionalFormatting sqref="F8">
    <cfRule type="cellIs" dxfId="91" priority="96" operator="between">
      <formula>16</formula>
      <formula>25</formula>
    </cfRule>
    <cfRule type="cellIs" dxfId="90" priority="97" operator="between">
      <formula>10</formula>
      <formula>15</formula>
    </cfRule>
    <cfRule type="cellIs" dxfId="89" priority="98" operator="between">
      <formula>5</formula>
      <formula>9</formula>
    </cfRule>
    <cfRule type="cellIs" dxfId="88" priority="99" operator="between">
      <formula>0</formula>
      <formula>4</formula>
    </cfRule>
  </conditionalFormatting>
  <conditionalFormatting sqref="K9">
    <cfRule type="cellIs" dxfId="87" priority="81" operator="between">
      <formula>16</formula>
      <formula>25</formula>
    </cfRule>
    <cfRule type="cellIs" dxfId="86" priority="82" operator="between">
      <formula>10</formula>
      <formula>15</formula>
    </cfRule>
    <cfRule type="cellIs" dxfId="85" priority="83" operator="between">
      <formula>5</formula>
      <formula>9</formula>
    </cfRule>
    <cfRule type="cellIs" dxfId="84" priority="84" operator="between">
      <formula>0</formula>
      <formula>4</formula>
    </cfRule>
  </conditionalFormatting>
  <conditionalFormatting sqref="B9">
    <cfRule type="containsText" dxfId="83" priority="79" operator="containsText" text="WHS">
      <formula>NOT(ISERROR(SEARCH("WHS",B9)))</formula>
    </cfRule>
    <cfRule type="containsText" dxfId="82" priority="80" operator="containsText" text="Environment">
      <formula>NOT(ISERROR(SEARCH("Environment",B9)))</formula>
    </cfRule>
  </conditionalFormatting>
  <conditionalFormatting sqref="B9">
    <cfRule type="containsText" dxfId="81" priority="78" operator="containsText" text="Quality">
      <formula>NOT(ISERROR(SEARCH("Quality",B9)))</formula>
    </cfRule>
  </conditionalFormatting>
  <conditionalFormatting sqref="F9">
    <cfRule type="cellIs" dxfId="80" priority="85" operator="between">
      <formula>16</formula>
      <formula>25</formula>
    </cfRule>
    <cfRule type="cellIs" dxfId="79" priority="86" operator="between">
      <formula>10</formula>
      <formula>15</formula>
    </cfRule>
    <cfRule type="cellIs" dxfId="78" priority="87" operator="between">
      <formula>5</formula>
      <formula>9</formula>
    </cfRule>
    <cfRule type="cellIs" dxfId="77" priority="88" operator="between">
      <formula>0</formula>
      <formula>4</formula>
    </cfRule>
  </conditionalFormatting>
  <conditionalFormatting sqref="K10">
    <cfRule type="cellIs" dxfId="76" priority="70" operator="between">
      <formula>16</formula>
      <formula>25</formula>
    </cfRule>
    <cfRule type="cellIs" dxfId="75" priority="71" operator="between">
      <formula>10</formula>
      <formula>15</formula>
    </cfRule>
    <cfRule type="cellIs" dxfId="74" priority="72" operator="between">
      <formula>5</formula>
      <formula>9</formula>
    </cfRule>
    <cfRule type="cellIs" dxfId="73" priority="73" operator="between">
      <formula>0</formula>
      <formula>4</formula>
    </cfRule>
  </conditionalFormatting>
  <conditionalFormatting sqref="B10">
    <cfRule type="containsText" dxfId="72" priority="68" operator="containsText" text="WHS">
      <formula>NOT(ISERROR(SEARCH("WHS",B10)))</formula>
    </cfRule>
    <cfRule type="containsText" dxfId="71" priority="69" operator="containsText" text="Environment">
      <formula>NOT(ISERROR(SEARCH("Environment",B10)))</formula>
    </cfRule>
  </conditionalFormatting>
  <conditionalFormatting sqref="B10">
    <cfRule type="containsText" dxfId="70" priority="67" operator="containsText" text="Quality">
      <formula>NOT(ISERROR(SEARCH("Quality",B10)))</formula>
    </cfRule>
  </conditionalFormatting>
  <conditionalFormatting sqref="F10">
    <cfRule type="cellIs" dxfId="69" priority="74" operator="between">
      <formula>16</formula>
      <formula>25</formula>
    </cfRule>
    <cfRule type="cellIs" dxfId="68" priority="75" operator="between">
      <formula>10</formula>
      <formula>15</formula>
    </cfRule>
    <cfRule type="cellIs" dxfId="67" priority="76" operator="between">
      <formula>5</formula>
      <formula>9</formula>
    </cfRule>
    <cfRule type="cellIs" dxfId="66" priority="77" operator="between">
      <formula>0</formula>
      <formula>4</formula>
    </cfRule>
  </conditionalFormatting>
  <conditionalFormatting sqref="K11">
    <cfRule type="cellIs" dxfId="65" priority="59" operator="between">
      <formula>16</formula>
      <formula>25</formula>
    </cfRule>
    <cfRule type="cellIs" dxfId="64" priority="60" operator="between">
      <formula>10</formula>
      <formula>15</formula>
    </cfRule>
    <cfRule type="cellIs" dxfId="63" priority="61" operator="between">
      <formula>5</formula>
      <formula>9</formula>
    </cfRule>
    <cfRule type="cellIs" dxfId="62" priority="62" operator="between">
      <formula>0</formula>
      <formula>4</formula>
    </cfRule>
  </conditionalFormatting>
  <conditionalFormatting sqref="B11">
    <cfRule type="containsText" dxfId="61" priority="57" operator="containsText" text="WHS">
      <formula>NOT(ISERROR(SEARCH("WHS",B11)))</formula>
    </cfRule>
    <cfRule type="containsText" dxfId="60" priority="58" operator="containsText" text="Environment">
      <formula>NOT(ISERROR(SEARCH("Environment",B11)))</formula>
    </cfRule>
  </conditionalFormatting>
  <conditionalFormatting sqref="B11">
    <cfRule type="containsText" dxfId="59" priority="56" operator="containsText" text="Quality">
      <formula>NOT(ISERROR(SEARCH("Quality",B11)))</formula>
    </cfRule>
  </conditionalFormatting>
  <conditionalFormatting sqref="F11">
    <cfRule type="cellIs" dxfId="58" priority="63" operator="between">
      <formula>16</formula>
      <formula>25</formula>
    </cfRule>
    <cfRule type="cellIs" dxfId="57" priority="64" operator="between">
      <formula>10</formula>
      <formula>15</formula>
    </cfRule>
    <cfRule type="cellIs" dxfId="56" priority="65" operator="between">
      <formula>5</formula>
      <formula>9</formula>
    </cfRule>
    <cfRule type="cellIs" dxfId="55" priority="66" operator="between">
      <formula>0</formula>
      <formula>4</formula>
    </cfRule>
  </conditionalFormatting>
  <conditionalFormatting sqref="K12">
    <cfRule type="cellIs" dxfId="54" priority="48" operator="between">
      <formula>16</formula>
      <formula>25</formula>
    </cfRule>
    <cfRule type="cellIs" dxfId="53" priority="49" operator="between">
      <formula>10</formula>
      <formula>15</formula>
    </cfRule>
    <cfRule type="cellIs" dxfId="52" priority="50" operator="between">
      <formula>5</formula>
      <formula>9</formula>
    </cfRule>
    <cfRule type="cellIs" dxfId="51" priority="51" operator="between">
      <formula>0</formula>
      <formula>4</formula>
    </cfRule>
  </conditionalFormatting>
  <conditionalFormatting sqref="B12">
    <cfRule type="containsText" dxfId="50" priority="46" operator="containsText" text="WHS">
      <formula>NOT(ISERROR(SEARCH("WHS",B12)))</formula>
    </cfRule>
    <cfRule type="containsText" dxfId="49" priority="47" operator="containsText" text="Environment">
      <formula>NOT(ISERROR(SEARCH("Environment",B12)))</formula>
    </cfRule>
  </conditionalFormatting>
  <conditionalFormatting sqref="B12">
    <cfRule type="containsText" dxfId="48" priority="45" operator="containsText" text="Quality">
      <formula>NOT(ISERROR(SEARCH("Quality",B12)))</formula>
    </cfRule>
  </conditionalFormatting>
  <conditionalFormatting sqref="F12">
    <cfRule type="cellIs" dxfId="47" priority="52" operator="between">
      <formula>16</formula>
      <formula>25</formula>
    </cfRule>
    <cfRule type="cellIs" dxfId="46" priority="53" operator="between">
      <formula>10</formula>
      <formula>15</formula>
    </cfRule>
    <cfRule type="cellIs" dxfId="45" priority="54" operator="between">
      <formula>5</formula>
      <formula>9</formula>
    </cfRule>
    <cfRule type="cellIs" dxfId="44" priority="55" operator="between">
      <formula>0</formula>
      <formula>4</formula>
    </cfRule>
  </conditionalFormatting>
  <conditionalFormatting sqref="K13">
    <cfRule type="cellIs" dxfId="43" priority="37" operator="between">
      <formula>16</formula>
      <formula>25</formula>
    </cfRule>
    <cfRule type="cellIs" dxfId="42" priority="38" operator="between">
      <formula>10</formula>
      <formula>15</formula>
    </cfRule>
    <cfRule type="cellIs" dxfId="41" priority="39" operator="between">
      <formula>5</formula>
      <formula>9</formula>
    </cfRule>
    <cfRule type="cellIs" dxfId="40" priority="40" operator="between">
      <formula>0</formula>
      <formula>4</formula>
    </cfRule>
  </conditionalFormatting>
  <conditionalFormatting sqref="B13">
    <cfRule type="containsText" dxfId="39" priority="35" operator="containsText" text="WHS">
      <formula>NOT(ISERROR(SEARCH("WHS",B13)))</formula>
    </cfRule>
    <cfRule type="containsText" dxfId="38" priority="36" operator="containsText" text="Environment">
      <formula>NOT(ISERROR(SEARCH("Environment",B13)))</formula>
    </cfRule>
  </conditionalFormatting>
  <conditionalFormatting sqref="B13">
    <cfRule type="containsText" dxfId="37" priority="34" operator="containsText" text="Quality">
      <formula>NOT(ISERROR(SEARCH("Quality",B13)))</formula>
    </cfRule>
  </conditionalFormatting>
  <conditionalFormatting sqref="F13">
    <cfRule type="cellIs" dxfId="36" priority="41" operator="between">
      <formula>16</formula>
      <formula>25</formula>
    </cfRule>
    <cfRule type="cellIs" dxfId="35" priority="42" operator="between">
      <formula>10</formula>
      <formula>15</formula>
    </cfRule>
    <cfRule type="cellIs" dxfId="34" priority="43" operator="between">
      <formula>5</formula>
      <formula>9</formula>
    </cfRule>
    <cfRule type="cellIs" dxfId="33" priority="44" operator="between">
      <formula>0</formula>
      <formula>4</formula>
    </cfRule>
  </conditionalFormatting>
  <conditionalFormatting sqref="K14">
    <cfRule type="cellIs" dxfId="32" priority="26" operator="between">
      <formula>16</formula>
      <formula>25</formula>
    </cfRule>
    <cfRule type="cellIs" dxfId="31" priority="27" operator="between">
      <formula>10</formula>
      <formula>15</formula>
    </cfRule>
    <cfRule type="cellIs" dxfId="30" priority="28" operator="between">
      <formula>5</formula>
      <formula>9</formula>
    </cfRule>
    <cfRule type="cellIs" dxfId="29" priority="29" operator="between">
      <formula>0</formula>
      <formula>4</formula>
    </cfRule>
  </conditionalFormatting>
  <conditionalFormatting sqref="B14">
    <cfRule type="containsText" dxfId="28" priority="24" operator="containsText" text="WHS">
      <formula>NOT(ISERROR(SEARCH("WHS",B14)))</formula>
    </cfRule>
    <cfRule type="containsText" dxfId="27" priority="25" operator="containsText" text="Environment">
      <formula>NOT(ISERROR(SEARCH("Environment",B14)))</formula>
    </cfRule>
  </conditionalFormatting>
  <conditionalFormatting sqref="B14">
    <cfRule type="containsText" dxfId="26" priority="23" operator="containsText" text="Quality">
      <formula>NOT(ISERROR(SEARCH("Quality",B14)))</formula>
    </cfRule>
  </conditionalFormatting>
  <conditionalFormatting sqref="F14">
    <cfRule type="cellIs" dxfId="25" priority="30" operator="between">
      <formula>16</formula>
      <formula>25</formula>
    </cfRule>
    <cfRule type="cellIs" dxfId="24" priority="31" operator="between">
      <formula>10</formula>
      <formula>15</formula>
    </cfRule>
    <cfRule type="cellIs" dxfId="23" priority="32" operator="between">
      <formula>5</formula>
      <formula>9</formula>
    </cfRule>
    <cfRule type="cellIs" dxfId="22" priority="33" operator="between">
      <formula>0</formula>
      <formula>4</formula>
    </cfRule>
  </conditionalFormatting>
  <conditionalFormatting sqref="K15">
    <cfRule type="cellIs" dxfId="21" priority="15" operator="between">
      <formula>16</formula>
      <formula>25</formula>
    </cfRule>
    <cfRule type="cellIs" dxfId="20" priority="16" operator="between">
      <formula>10</formula>
      <formula>15</formula>
    </cfRule>
    <cfRule type="cellIs" dxfId="19" priority="17" operator="between">
      <formula>5</formula>
      <formula>9</formula>
    </cfRule>
    <cfRule type="cellIs" dxfId="18" priority="18" operator="between">
      <formula>0</formula>
      <formula>4</formula>
    </cfRule>
  </conditionalFormatting>
  <conditionalFormatting sqref="B15">
    <cfRule type="containsText" dxfId="17" priority="13" operator="containsText" text="WHS">
      <formula>NOT(ISERROR(SEARCH("WHS",B15)))</formula>
    </cfRule>
    <cfRule type="containsText" dxfId="16" priority="14" operator="containsText" text="Environment">
      <formula>NOT(ISERROR(SEARCH("Environment",B15)))</formula>
    </cfRule>
  </conditionalFormatting>
  <conditionalFormatting sqref="B15">
    <cfRule type="containsText" dxfId="15" priority="12" operator="containsText" text="Quality">
      <formula>NOT(ISERROR(SEARCH("Quality",B15)))</formula>
    </cfRule>
  </conditionalFormatting>
  <conditionalFormatting sqref="F15">
    <cfRule type="cellIs" dxfId="14" priority="19" operator="between">
      <formula>16</formula>
      <formula>25</formula>
    </cfRule>
    <cfRule type="cellIs" dxfId="13" priority="20" operator="between">
      <formula>10</formula>
      <formula>15</formula>
    </cfRule>
    <cfRule type="cellIs" dxfId="12" priority="21" operator="between">
      <formula>5</formula>
      <formula>9</formula>
    </cfRule>
    <cfRule type="cellIs" dxfId="11" priority="22" operator="between">
      <formula>0</formula>
      <formula>4</formula>
    </cfRule>
  </conditionalFormatting>
  <conditionalFormatting sqref="K16">
    <cfRule type="cellIs" dxfId="10" priority="4" operator="between">
      <formula>16</formula>
      <formula>25</formula>
    </cfRule>
    <cfRule type="cellIs" dxfId="9" priority="5" operator="between">
      <formula>10</formula>
      <formula>15</formula>
    </cfRule>
    <cfRule type="cellIs" dxfId="8" priority="6" operator="between">
      <formula>5</formula>
      <formula>9</formula>
    </cfRule>
    <cfRule type="cellIs" dxfId="7" priority="7" operator="between">
      <formula>0</formula>
      <formula>4</formula>
    </cfRule>
  </conditionalFormatting>
  <conditionalFormatting sqref="B16">
    <cfRule type="containsText" dxfId="6" priority="2" operator="containsText" text="WHS">
      <formula>NOT(ISERROR(SEARCH("WHS",B16)))</formula>
    </cfRule>
    <cfRule type="containsText" dxfId="5" priority="3" operator="containsText" text="Environment">
      <formula>NOT(ISERROR(SEARCH("Environment",B16)))</formula>
    </cfRule>
  </conditionalFormatting>
  <conditionalFormatting sqref="B16">
    <cfRule type="containsText" dxfId="4" priority="1" operator="containsText" text="Quality">
      <formula>NOT(ISERROR(SEARCH("Quality",B16)))</formula>
    </cfRule>
  </conditionalFormatting>
  <conditionalFormatting sqref="F16">
    <cfRule type="cellIs" dxfId="3" priority="8" operator="between">
      <formula>16</formula>
      <formula>25</formula>
    </cfRule>
    <cfRule type="cellIs" dxfId="2" priority="9" operator="between">
      <formula>10</formula>
      <formula>15</formula>
    </cfRule>
    <cfRule type="cellIs" dxfId="1" priority="10" operator="between">
      <formula>5</formula>
      <formula>9</formula>
    </cfRule>
    <cfRule type="cellIs" dxfId="0" priority="11" operator="between">
      <formula>0</formula>
      <formula>4</formula>
    </cfRule>
  </conditionalFormatting>
  <dataValidations count="4">
    <dataValidation type="list" showInputMessage="1" showErrorMessage="1" sqref="D1006:D1013 D1059:D1068 D8:D11" xr:uid="{00000000-0002-0000-0600-000000000000}">
      <formula1>Probability</formula1>
    </dataValidation>
    <dataValidation type="list" showInputMessage="1" showErrorMessage="1" sqref="E1006:E1013 E1059:E1068 E8:E11" xr:uid="{00000000-0002-0000-0600-000001000000}">
      <formula1>INDIRECT($B8)</formula1>
    </dataValidation>
    <dataValidation type="list" allowBlank="1" showInputMessage="1" showErrorMessage="1" sqref="J1006:J1010 J1062:J1068 J8 J10:J11" xr:uid="{00000000-0002-0000-0600-000002000000}">
      <formula1>INDIRECT($B8)</formula1>
    </dataValidation>
    <dataValidation allowBlank="1" showInputMessage="1" showErrorMessage="1" prompt="Select the Severity of the Risk" sqref="O1019:O1029 O16" xr:uid="{00000000-0002-0000-0600-000003000000}"/>
  </dataValidations>
  <pageMargins left="0.2" right="0.2" top="0.5" bottom="0.5" header="0.2" footer="0.5"/>
  <pageSetup paperSize="9" scale="63" fitToHeight="0" orientation="landscape" r:id="rId1"/>
  <headerFooter>
    <oddHeader>&amp;L&amp;A&amp;R&amp;A</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Printing">
                <anchor moveWithCells="1">
                  <from>
                    <xdr:col>9</xdr:col>
                    <xdr:colOff>352425</xdr:colOff>
                    <xdr:row>0</xdr:row>
                    <xdr:rowOff>114300</xdr:rowOff>
                  </from>
                  <to>
                    <xdr:col>11</xdr:col>
                    <xdr:colOff>361950</xdr:colOff>
                    <xdr:row>1</xdr:row>
                    <xdr:rowOff>104775</xdr:rowOff>
                  </to>
                </anchor>
              </controlPr>
            </control>
          </mc:Choice>
        </mc:AlternateContent>
        <mc:AlternateContent xmlns:mc="http://schemas.openxmlformats.org/markup-compatibility/2006">
          <mc:Choice Requires="x14">
            <control shapeId="9229" r:id="rId5" name="Button 13">
              <controlPr defaultSize="0" print="0" autoFill="0" autoPict="0" macro="[0]!Printing3">
                <anchor moveWithCells="1">
                  <from>
                    <xdr:col>11</xdr:col>
                    <xdr:colOff>781050</xdr:colOff>
                    <xdr:row>0</xdr:row>
                    <xdr:rowOff>114300</xdr:rowOff>
                  </from>
                  <to>
                    <xdr:col>13</xdr:col>
                    <xdr:colOff>809625</xdr:colOff>
                    <xdr:row>1</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prompt="Select the Severity of the Risk" xr:uid="{00000000-0002-0000-0600-000004000000}">
          <x14:formula1>
            <xm:f>'Risk Information '!$A$2:$A$7</xm:f>
          </x14:formula1>
          <xm:sqref>D1043:D1052 I1043:I1052 D1505 I1505</xm:sqref>
        </x14:dataValidation>
        <x14:dataValidation type="list" showInputMessage="1" showErrorMessage="1" xr:uid="{00000000-0002-0000-0600-000005000000}">
          <x14:formula1>
            <xm:f>'Risk Information '!$A$34:$A$37</xm:f>
          </x14:formula1>
          <xm:sqref>B1006:B1068 B1505 B8:B16</xm:sqref>
        </x14:dataValidation>
        <x14:dataValidation type="list" allowBlank="1" showInputMessage="1" showErrorMessage="1" xr:uid="{00000000-0002-0000-0600-000006000000}">
          <x14:formula1>
            <xm:f>'Risk Information '!$D$16:$D$20</xm:f>
          </x14:formula1>
          <xm:sqref>H4:J5 N1015:N1052 N1505 N15:N16</xm:sqref>
        </x14:dataValidation>
        <x14:dataValidation type="list" allowBlank="1" showInputMessage="1" showErrorMessage="1" prompt="Select the Likelihood of the Risk Occuring_x000a_" xr:uid="{00000000-0002-0000-0600-000007000000}">
          <x14:formula1>
            <xm:f>'Risk Information '!$A$9:$A$13</xm:f>
          </x14:formula1>
          <xm:sqref>J1505 J1041 J1043:J1052 E1043:E1052 E1505</xm:sqref>
        </x14:dataValidation>
        <x14:dataValidation type="list" allowBlank="1" showInputMessage="1" showErrorMessage="1" xr:uid="{00000000-0002-0000-0600-000008000000}">
          <x14:formula1>
            <xm:f>'Risk Information '!$G$22:$G$23</xm:f>
          </x14:formula1>
          <xm:sqref>C4:E5</xm:sqref>
        </x14:dataValidation>
        <x14:dataValidation type="list" allowBlank="1" showInputMessage="1" showErrorMessage="1" xr:uid="{00000000-0002-0000-0600-000009000000}">
          <x14:formula1>
            <xm:f>'Risk Information '!$A$22:$A$31</xm:f>
          </x14:formula1>
          <xm:sqref>D1</xm:sqref>
        </x14:dataValidation>
        <x14:dataValidation type="list" allowBlank="1" showInputMessage="1" showErrorMessage="1" xr:uid="{00000000-0002-0000-0600-00000A000000}">
          <x14:formula1>
            <xm:f>'Risk Information '!$A$2:$A$7</xm:f>
          </x14:formula1>
          <xm:sqref>I1006:I1042 D1014:D1042 D1053:D1058 I1053:I1068 I8:I16 D12:D16</xm:sqref>
        </x14:dataValidation>
        <x14:dataValidation type="list" allowBlank="1" showInputMessage="1" showErrorMessage="1" xr:uid="{00000000-0002-0000-0600-00000B000000}">
          <x14:formula1>
            <xm:f>'Risk Information '!$A$9:$A$13</xm:f>
          </x14:formula1>
          <xm:sqref>J1011:J1040 E1014:E1042 J1042 E1053:E1058 J1053:J1061 J9 E12:E16 J12:J16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5"/>
  <sheetViews>
    <sheetView workbookViewId="0">
      <selection activeCell="A5" sqref="A5"/>
    </sheetView>
  </sheetViews>
  <sheetFormatPr defaultRowHeight="15" x14ac:dyDescent="0.25"/>
  <cols>
    <col min="1" max="1" width="18.42578125" customWidth="1"/>
    <col min="3" max="3" width="52.28515625" customWidth="1"/>
  </cols>
  <sheetData>
    <row r="1" spans="1:3" x14ac:dyDescent="0.25">
      <c r="A1" t="s">
        <v>297</v>
      </c>
      <c r="B1" t="s">
        <v>296</v>
      </c>
      <c r="C1" t="s">
        <v>295</v>
      </c>
    </row>
    <row r="2" spans="1:3" x14ac:dyDescent="0.25">
      <c r="A2" s="83">
        <v>20171128</v>
      </c>
      <c r="B2" t="s">
        <v>292</v>
      </c>
      <c r="C2" t="s">
        <v>294</v>
      </c>
    </row>
    <row r="3" spans="1:3" x14ac:dyDescent="0.25">
      <c r="A3">
        <v>20171204</v>
      </c>
      <c r="B3" t="s">
        <v>292</v>
      </c>
      <c r="C3" t="s">
        <v>299</v>
      </c>
    </row>
    <row r="4" spans="1:3" x14ac:dyDescent="0.25">
      <c r="A4">
        <v>20171221</v>
      </c>
      <c r="B4" t="s">
        <v>292</v>
      </c>
      <c r="C4" t="s">
        <v>300</v>
      </c>
    </row>
    <row r="5" spans="1:3" x14ac:dyDescent="0.25">
      <c r="A5">
        <v>20180122</v>
      </c>
      <c r="B5" t="s">
        <v>292</v>
      </c>
      <c r="C5" t="s">
        <v>301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11</vt:i4>
      </vt:variant>
    </vt:vector>
  </HeadingPairs>
  <TitlesOfParts>
    <vt:vector size="18" baseType="lpstr">
      <vt:lpstr>Main</vt:lpstr>
      <vt:lpstr>Risk Register</vt:lpstr>
      <vt:lpstr>Risk Matrix</vt:lpstr>
      <vt:lpstr>Risk Information </vt:lpstr>
      <vt:lpstr>Temp</vt:lpstr>
      <vt:lpstr>SWMS Template</vt:lpstr>
      <vt:lpstr>Revision History</vt:lpstr>
      <vt:lpstr>Envirolist</vt:lpstr>
      <vt:lpstr>Environment</vt:lpstr>
      <vt:lpstr>Managlist</vt:lpstr>
      <vt:lpstr>'Risk Register'!Print_Area</vt:lpstr>
      <vt:lpstr>'Risk Register'!Print_Titles</vt:lpstr>
      <vt:lpstr>Probability</vt:lpstr>
      <vt:lpstr>Quality</vt:lpstr>
      <vt:lpstr>Quallist</vt:lpstr>
      <vt:lpstr>test</vt:lpstr>
      <vt:lpstr>WHS</vt:lpstr>
      <vt:lpstr>WHSlist</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Harrison Khalu</dc:creator>
  <cp:lastModifiedBy>EW</cp:lastModifiedBy>
  <cp:lastPrinted>2018-01-22T02:07:08Z</cp:lastPrinted>
  <dcterms:created xsi:type="dcterms:W3CDTF">2016-12-12T03:21:07Z</dcterms:created>
  <dcterms:modified xsi:type="dcterms:W3CDTF">2019-04-08T19:12:27Z</dcterms:modified>
</cp:coreProperties>
</file>